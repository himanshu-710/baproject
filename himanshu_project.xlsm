
<file path=[Content_Types].xml><?xml version="1.0" encoding="utf-8"?>
<Types xmlns="http://schemas.openxmlformats.org/package/2006/content-types">
  <Default Extension="png" ContentType="image/png"/>
  <Default Extension="svg" ContentType="image/svg+xml"/>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2.xml" ContentType="application/vnd.ms-excel.slicer+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Ex2.xml" ContentType="application/vnd.ms-office.chartex+xml"/>
  <Override PartName="/xl/charts/style12.xml" ContentType="application/vnd.ms-office.chartstyle+xml"/>
  <Override PartName="/xl/charts/colors12.xml" ContentType="application/vnd.ms-office.chartcolorstyle+xml"/>
  <Override PartName="/xl/charts/chartEx3.xml" ContentType="application/vnd.ms-office.chartex+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codeName="ThisWorkbook" hidePivotFieldList="1"/>
  <mc:AlternateContent xmlns:mc="http://schemas.openxmlformats.org/markup-compatibility/2006">
    <mc:Choice Requires="x15">
      <x15ac:absPath xmlns:x15ac="http://schemas.microsoft.com/office/spreadsheetml/2010/11/ac" url="D:\SEM 3\BA\"/>
    </mc:Choice>
  </mc:AlternateContent>
  <xr:revisionPtr revIDLastSave="0" documentId="13_ncr:1_{6F18F09A-57D2-4159-BD03-386229A1DC27}" xr6:coauthVersionLast="37" xr6:coauthVersionMax="47" xr10:uidLastSave="{00000000-0000-0000-0000-000000000000}"/>
  <bookViews>
    <workbookView xWindow="0" yWindow="0" windowWidth="23040" windowHeight="8940" tabRatio="607" xr2:uid="{65413B0E-DDC6-419D-869E-C7057D34DCD4}"/>
  </bookViews>
  <sheets>
    <sheet name="Sheet6" sheetId="10" r:id="rId1"/>
    <sheet name="Sheet1" sheetId="5" state="hidden" r:id="rId2"/>
    <sheet name="Sheet2" sheetId="6" state="hidden" r:id="rId3"/>
    <sheet name="Sheet3" sheetId="7" state="hidden" r:id="rId4"/>
    <sheet name="Analysis" sheetId="4" r:id="rId5"/>
    <sheet name="Icons" sheetId="2" r:id="rId6"/>
    <sheet name="Dashboard" sheetId="3" r:id="rId7"/>
  </sheets>
  <definedNames>
    <definedName name="_xlchart.v1.0" hidden="1">Analysis!$G$5:$G$13</definedName>
    <definedName name="_xlchart.v1.1" hidden="1">Analysis!$H$4</definedName>
    <definedName name="_xlchart.v1.2" hidden="1">Analysis!$H$5:$H$13</definedName>
    <definedName name="_xlchart.v1.3" hidden="1">Analysis!$G$5:$G$13</definedName>
    <definedName name="_xlchart.v1.4" hidden="1">Analysis!$H$4</definedName>
    <definedName name="_xlchart.v1.5" hidden="1">Analysis!$H$5:$H$13</definedName>
    <definedName name="_xlchart.v5.6" hidden="1">Analysis!$G$5:$G$13</definedName>
    <definedName name="_xlchart.v5.7" hidden="1">Analysis!$H$4</definedName>
    <definedName name="_xlchart.v5.8" hidden="1">Analysis!$H$5:$H$13</definedName>
    <definedName name="ExternalData_1" localSheetId="0" hidden="1">Sheet6!$A$1:$J$487</definedName>
    <definedName name="Slicer_Category1">#N/A</definedName>
    <definedName name="Slicer_Month_Number">#N/A</definedName>
  </definedNames>
  <calcPr calcId="179021"/>
  <pivotCaches>
    <pivotCache cacheId="0"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 i="4" l="1"/>
  <c r="E5" i="4"/>
  <c r="N81" i="4" l="1"/>
  <c r="N82" i="4"/>
  <c r="N83" i="4"/>
  <c r="N84" i="4"/>
  <c r="N85" i="4"/>
  <c r="N86" i="4"/>
  <c r="N87" i="4"/>
  <c r="N88" i="4"/>
  <c r="N89" i="4"/>
  <c r="N90" i="4"/>
  <c r="N80" i="4"/>
  <c r="M110"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7F10BF9-CCDE-4267-8C53-6B700C1B1B3A}" keepAlive="1" name="Query - Dataset" description="Connection to the 'Dataset' query in the workbook." type="5" refreshedVersion="6" background="1" saveData="1">
    <dbPr connection="Provider=Microsoft.Mashup.OleDb.1;Data Source=$Workbook$;Location=Dataset;Extended Properties=&quot;&quot;" command="SELECT * FROM [Dataset]"/>
  </connection>
</connections>
</file>

<file path=xl/sharedStrings.xml><?xml version="1.0" encoding="utf-8"?>
<sst xmlns="http://schemas.openxmlformats.org/spreadsheetml/2006/main" count="2633" uniqueCount="101">
  <si>
    <t>Date</t>
  </si>
  <si>
    <t>Description</t>
  </si>
  <si>
    <t>Debit</t>
  </si>
  <si>
    <t>Credit</t>
  </si>
  <si>
    <t>Sub-category</t>
  </si>
  <si>
    <t>Category</t>
  </si>
  <si>
    <t>Category Type</t>
  </si>
  <si>
    <t>Data With Decision</t>
  </si>
  <si>
    <t>Data with Decision</t>
  </si>
  <si>
    <t>Salary</t>
  </si>
  <si>
    <t>Income</t>
  </si>
  <si>
    <t>Drink</t>
  </si>
  <si>
    <t>Coffee</t>
  </si>
  <si>
    <t>Dining Out</t>
  </si>
  <si>
    <t>Expense</t>
  </si>
  <si>
    <t>Estate Mangement</t>
  </si>
  <si>
    <t>Rent</t>
  </si>
  <si>
    <t>Living Expenses</t>
  </si>
  <si>
    <t>Financail upgrade</t>
  </si>
  <si>
    <t>Cash loan</t>
  </si>
  <si>
    <t>Transport</t>
  </si>
  <si>
    <t>Green's</t>
  </si>
  <si>
    <t>Groceries</t>
  </si>
  <si>
    <t>Power source</t>
  </si>
  <si>
    <t>Gas/Electrics</t>
  </si>
  <si>
    <t>Fuel</t>
  </si>
  <si>
    <t>Cinemas</t>
  </si>
  <si>
    <t>Entertainment</t>
  </si>
  <si>
    <t>Discretionary</t>
  </si>
  <si>
    <t>Fashionistas</t>
  </si>
  <si>
    <t>Clothes</t>
  </si>
  <si>
    <t>Burger</t>
  </si>
  <si>
    <t>Restaurant</t>
  </si>
  <si>
    <t>Uba</t>
  </si>
  <si>
    <t>Taxi</t>
  </si>
  <si>
    <t>Onlne earning</t>
  </si>
  <si>
    <t>YouTube</t>
  </si>
  <si>
    <t>Passive</t>
  </si>
  <si>
    <t>Teachable</t>
  </si>
  <si>
    <t>Phone</t>
  </si>
  <si>
    <t>Sallah give away</t>
  </si>
  <si>
    <t>Gifts</t>
  </si>
  <si>
    <t>Online streaming</t>
  </si>
  <si>
    <t>Suya</t>
  </si>
  <si>
    <t>Oha soup/White soup</t>
  </si>
  <si>
    <t>Orphanage</t>
  </si>
  <si>
    <t>Donation</t>
  </si>
  <si>
    <t>Charity</t>
  </si>
  <si>
    <t>Fueling</t>
  </si>
  <si>
    <t>Trainers</t>
  </si>
  <si>
    <t>Hangingout/Ticket</t>
  </si>
  <si>
    <t>Global Fashion</t>
  </si>
  <si>
    <t>Taken medication</t>
  </si>
  <si>
    <t>Doctor</t>
  </si>
  <si>
    <t>Medical</t>
  </si>
  <si>
    <t>Sport ware</t>
  </si>
  <si>
    <t>Foodary</t>
  </si>
  <si>
    <t>Clubing</t>
  </si>
  <si>
    <t>Home décor</t>
  </si>
  <si>
    <t>Furnishings</t>
  </si>
  <si>
    <t>Feedings</t>
  </si>
  <si>
    <t>Month Number</t>
  </si>
  <si>
    <t>Weekday</t>
  </si>
  <si>
    <t>Amount</t>
  </si>
  <si>
    <t xml:space="preserve"> </t>
  </si>
  <si>
    <t>Min</t>
  </si>
  <si>
    <t>Max</t>
  </si>
  <si>
    <t>Grand Total</t>
  </si>
  <si>
    <t>Sum of Amount</t>
  </si>
  <si>
    <t>Sum of Debit</t>
  </si>
  <si>
    <t>Cash inflow, Cash outflow and balance</t>
  </si>
  <si>
    <t>Sum of Credit</t>
  </si>
  <si>
    <t>Source of Income</t>
  </si>
  <si>
    <t>DWD</t>
  </si>
  <si>
    <t>Weekly Analysis</t>
  </si>
  <si>
    <t>KPI Cards</t>
  </si>
  <si>
    <t>Expenses</t>
  </si>
  <si>
    <t>Month Name</t>
  </si>
  <si>
    <t>Jan</t>
  </si>
  <si>
    <t>Feb</t>
  </si>
  <si>
    <t>Mar</t>
  </si>
  <si>
    <t>Apr</t>
  </si>
  <si>
    <t>May</t>
  </si>
  <si>
    <t>Jun</t>
  </si>
  <si>
    <t>Jul</t>
  </si>
  <si>
    <t>Aug</t>
  </si>
  <si>
    <t>Sep</t>
  </si>
  <si>
    <t>Oct</t>
  </si>
  <si>
    <t xml:space="preserve">January </t>
  </si>
  <si>
    <t xml:space="preserve">Febuary </t>
  </si>
  <si>
    <t>March</t>
  </si>
  <si>
    <t>April</t>
  </si>
  <si>
    <t>June</t>
  </si>
  <si>
    <t>July</t>
  </si>
  <si>
    <t>August</t>
  </si>
  <si>
    <t>September</t>
  </si>
  <si>
    <t>October</t>
  </si>
  <si>
    <t>November</t>
  </si>
  <si>
    <t>December</t>
  </si>
  <si>
    <t>Selected Month</t>
  </si>
  <si>
    <t>Back To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</si>
</sst>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m/d/yy;@"/>
    <numFmt numFmtId="165" formatCode="ddd"/>
    <numFmt numFmtId="166" formatCode="&quot;$&quot;#,##0"/>
    <numFmt numFmtId="167" formatCode="m"/>
  </numFmts>
  <fonts count="5" x14ac:knownFonts="1">
    <font>
      <sz val="11"/>
      <color theme="1"/>
      <name val="Franklin Gothic Book"/>
      <family val="2"/>
      <scheme val="minor"/>
    </font>
    <font>
      <b/>
      <sz val="11"/>
      <color theme="1"/>
      <name val="Franklin Gothic Book"/>
      <family val="2"/>
      <scheme val="minor"/>
    </font>
    <font>
      <sz val="8"/>
      <color rgb="FF000000"/>
      <name val="Segoe UI"/>
      <family val="2"/>
    </font>
    <font>
      <u/>
      <sz val="11"/>
      <color theme="10"/>
      <name val="Franklin Gothic Book"/>
      <family val="2"/>
      <scheme val="minor"/>
    </font>
    <font>
      <sz val="11"/>
      <color rgb="FFFFC000"/>
      <name val="Franklin Gothic Book"/>
      <family val="2"/>
      <scheme val="minor"/>
    </font>
  </fonts>
  <fills count="5">
    <fill>
      <patternFill patternType="none"/>
    </fill>
    <fill>
      <patternFill patternType="gray125"/>
    </fill>
    <fill>
      <patternFill patternType="solid">
        <fgColor theme="4" tint="0.79998168889431442"/>
        <bgColor theme="4" tint="0.79998168889431442"/>
      </patternFill>
    </fill>
    <fill>
      <patternFill patternType="solid">
        <fgColor theme="1" tint="4.9989318521683403E-2"/>
        <bgColor indexed="64"/>
      </patternFill>
    </fill>
    <fill>
      <patternFill patternType="solid">
        <fgColor theme="1"/>
        <bgColor indexed="64"/>
      </patternFill>
    </fill>
  </fills>
  <borders count="4">
    <border>
      <left/>
      <right/>
      <top/>
      <bottom/>
      <diagonal/>
    </border>
    <border>
      <left/>
      <right/>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pplyNumberFormat="0" applyFill="0" applyBorder="0" applyAlignment="0" applyProtection="0"/>
  </cellStyleXfs>
  <cellXfs count="13">
    <xf numFmtId="0" fontId="0" fillId="0" borderId="0" xfId="0"/>
    <xf numFmtId="164" fontId="0" fillId="0" borderId="0" xfId="0" applyNumberFormat="1"/>
    <xf numFmtId="165" fontId="0" fillId="0" borderId="0" xfId="0" applyNumberFormat="1"/>
    <xf numFmtId="0" fontId="0" fillId="0" borderId="0" xfId="0" pivotButton="1"/>
    <xf numFmtId="0" fontId="0" fillId="2" borderId="1" xfId="0" applyFill="1" applyBorder="1"/>
    <xf numFmtId="166" fontId="0" fillId="0" borderId="0" xfId="0" applyNumberFormat="1"/>
    <xf numFmtId="166" fontId="1" fillId="2" borderId="2" xfId="0" applyNumberFormat="1" applyFont="1" applyFill="1" applyBorder="1"/>
    <xf numFmtId="0" fontId="0" fillId="0" borderId="3" xfId="0" applyBorder="1"/>
    <xf numFmtId="0" fontId="3" fillId="0" borderId="0" xfId="1"/>
    <xf numFmtId="0" fontId="0" fillId="4" borderId="0" xfId="0" applyFill="1"/>
    <xf numFmtId="0" fontId="0" fillId="0" borderId="0" xfId="0" applyNumberFormat="1"/>
    <xf numFmtId="14" fontId="0" fillId="0" borderId="0" xfId="0" applyNumberFormat="1"/>
    <xf numFmtId="0" fontId="4" fillId="3" borderId="0" xfId="0" applyFont="1" applyFill="1" applyAlignment="1"/>
  </cellXfs>
  <cellStyles count="2">
    <cellStyle name="Hyperlink" xfId="1" builtinId="8"/>
    <cellStyle name="Normal" xfId="0" builtinId="0"/>
  </cellStyles>
  <dxfs count="24">
    <dxf>
      <numFmt numFmtId="0" formatCode="General"/>
    </dxf>
    <dxf>
      <numFmt numFmtId="0" formatCode="General"/>
    </dxf>
    <dxf>
      <numFmt numFmtId="0" formatCode="General"/>
    </dxf>
    <dxf>
      <numFmt numFmtId="0" formatCode="General"/>
    </dxf>
    <dxf>
      <numFmt numFmtId="19" formatCode="dd/mm/yyyy"/>
    </dxf>
    <dxf>
      <numFmt numFmtId="166" formatCode="&quot;$&quot;#,##0"/>
    </dxf>
    <dxf>
      <numFmt numFmtId="166" formatCode="&quot;$&quot;#,##0"/>
    </dxf>
    <dxf>
      <numFmt numFmtId="166" formatCode="&quot;$&quot;#,##0"/>
    </dxf>
    <dxf>
      <numFmt numFmtId="19" formatCode="dd/mm/yyyy"/>
    </dxf>
    <dxf>
      <numFmt numFmtId="19" formatCode="dd/mm/yyyy"/>
    </dxf>
    <dxf>
      <numFmt numFmtId="19" formatCode="dd/mm/yyyy"/>
    </dxf>
    <dxf>
      <numFmt numFmtId="19" formatCode="dd/mm/yyyy"/>
    </dxf>
    <dxf>
      <numFmt numFmtId="19" formatCode="dd/mm/yyyy"/>
    </dxf>
    <dxf>
      <numFmt numFmtId="19" formatCode="dd/mm/yyyy"/>
    </dxf>
    <dxf>
      <numFmt numFmtId="166" formatCode="&quot;$&quot;#,##0"/>
    </dxf>
    <dxf>
      <numFmt numFmtId="166" formatCode="&quot;$&quot;#,##0"/>
    </dxf>
    <dxf>
      <numFmt numFmtId="166" formatCode="&quot;$&quot;#,##0"/>
    </dxf>
    <dxf>
      <numFmt numFmtId="166" formatCode="&quot;$&quot;#,##0"/>
    </dxf>
    <dxf>
      <numFmt numFmtId="166" formatCode="&quot;$&quot;#,##0"/>
    </dxf>
    <dxf>
      <numFmt numFmtId="166" formatCode="&quot;$&quot;#,##0"/>
    </dxf>
    <dxf>
      <font>
        <b/>
        <color theme="1"/>
      </font>
      <border>
        <bottom style="thin">
          <color theme="4"/>
        </bottom>
        <vertical/>
        <horizontal/>
      </border>
    </dxf>
    <dxf>
      <font>
        <color theme="1"/>
      </font>
      <fill>
        <patternFill>
          <bgColor rgb="FF2C2C2C"/>
        </patternFill>
      </fill>
      <border diagonalUp="0" diagonalDown="0">
        <left/>
        <right/>
        <top/>
        <bottom/>
        <vertical/>
        <horizontal/>
      </border>
    </dxf>
    <dxf>
      <font>
        <b/>
        <color theme="1"/>
      </font>
      <border>
        <bottom style="thin">
          <color theme="4"/>
        </bottom>
        <vertical/>
        <horizontal/>
      </border>
    </dxf>
    <dxf>
      <font>
        <color theme="1"/>
      </font>
      <fill>
        <patternFill>
          <bgColor rgb="FF2C2C2C"/>
        </patternFill>
      </fill>
      <border diagonalUp="0" diagonalDown="0">
        <left/>
        <right/>
        <top/>
        <bottom/>
        <vertical/>
        <horizontal/>
      </border>
    </dxf>
  </dxfs>
  <tableStyles count="2" defaultTableStyle="TableStyleMedium2" defaultPivotStyle="PivotStyleLight16">
    <tableStyle name="SlicerStyleLight1 2" pivot="0" table="0" count="10" xr9:uid="{66653947-F699-4BB2-947B-F7B638991EB5}">
      <tableStyleElement type="wholeTable" dxfId="23"/>
      <tableStyleElement type="headerRow" dxfId="22"/>
    </tableStyle>
    <tableStyle name="SlicerStyleLight1 2 2" pivot="0" table="0" count="10" xr9:uid="{D594E0AA-8AD8-47E0-A24C-2FE0D5ECB315}">
      <tableStyleElement type="wholeTable" dxfId="21"/>
      <tableStyleElement type="headerRow" dxfId="20"/>
    </tableStyle>
  </tableStyles>
  <colors>
    <mruColors>
      <color rgb="FF5C38FF"/>
      <color rgb="FFFFD058"/>
      <color rgb="FFFF5858"/>
      <color rgb="FF2C2C2C"/>
      <color rgb="FF151515"/>
    </mruColors>
  </colors>
  <extLst>
    <ext xmlns:x14="http://schemas.microsoft.com/office/spreadsheetml/2009/9/main" uri="{46F421CA-312F-682f-3DD2-61675219B42D}">
      <x14:dxfs count="16">
        <dxf>
          <font>
            <b/>
            <i val="0"/>
            <sz val="12"/>
            <color rgb="FF000000"/>
          </font>
          <fill>
            <patternFill patternType="solid">
              <fgColor auto="1"/>
              <bgColor rgb="FF2C2C2C"/>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18"/>
            <color rgb="FFFFD058"/>
          </font>
          <fill>
            <patternFill patternType="solid">
              <fgColor auto="1"/>
              <bgColor rgb="FF2C2C2C"/>
            </patternFill>
          </fill>
          <border diagonalUp="0" diagonalDown="0">
            <left/>
            <right/>
            <top/>
            <bottom/>
            <vertical/>
            <horizontal/>
          </border>
        </dxf>
        <dxf>
          <font>
            <b/>
            <i val="0"/>
            <sz val="12"/>
            <color rgb="FFFF5858"/>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1"/>
            <color theme="0"/>
          </font>
          <fill>
            <patternFill patternType="solid">
              <fgColor theme="4" tint="0.59999389629810485"/>
              <bgColor rgb="FF2C2C2C"/>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rgb="FF2C2C2C"/>
            </patternFill>
          </fill>
          <border diagonalUp="0" diagonalDown="0">
            <left/>
            <right/>
            <top/>
            <bottom/>
            <vertical/>
            <horizontal/>
          </border>
        </dxf>
        <dxf>
          <font>
            <sz val="12"/>
            <color rgb="FF000000"/>
          </font>
          <fill>
            <patternFill patternType="solid">
              <fgColor auto="1"/>
              <bgColor rgb="FF2C2C2C"/>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18"/>
            <color rgb="FFFFD058"/>
          </font>
          <fill>
            <patternFill patternType="solid">
              <fgColor auto="1"/>
              <bgColor rgb="FF2C2C2C"/>
            </patternFill>
          </fill>
          <border diagonalUp="0" diagonalDown="0">
            <left/>
            <right/>
            <top/>
            <bottom/>
            <vertical/>
            <horizontal/>
          </border>
        </dxf>
        <dxf>
          <font>
            <color rgb="FFFF5858"/>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4"/>
            <color theme="0"/>
          </font>
          <fill>
            <patternFill patternType="solid">
              <fgColor theme="4" tint="0.59999389629810485"/>
              <bgColor rgb="FF2C2C2C"/>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rgb="FF2C2C2C"/>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[himanshu_project.xlsm]Analysis!PivotTable4</c:name>
    <c:fmtId val="14"/>
  </c:pivotSource>
  <c:chart>
    <c:autoTitleDeleted val="1"/>
    <c:pivotFmts>
      <c:pivotFmt>
        <c:idx val="0"/>
        <c:spPr>
          <a:solidFill>
            <a:schemeClr val="accent1"/>
          </a:solidFill>
          <a:ln>
            <a:noFill/>
          </a:ln>
          <a:effectLst/>
        </c:spPr>
        <c:marker>
          <c:symbol val="none"/>
        </c:marker>
      </c:pivotFmt>
    </c:pivotFmts>
    <c:plotArea>
      <c:layout/>
      <c:barChart>
        <c:barDir val="bar"/>
        <c:grouping val="clustered"/>
        <c:varyColors val="0"/>
        <c:ser>
          <c:idx val="0"/>
          <c:order val="0"/>
          <c:tx>
            <c:strRef>
              <c:f>Analysis!$H$17</c:f>
              <c:strCache>
                <c:ptCount val="1"/>
                <c:pt idx="0">
                  <c:v>Total</c:v>
                </c:pt>
              </c:strCache>
            </c:strRef>
          </c:tx>
          <c:spPr>
            <a:solidFill>
              <a:schemeClr val="accent1"/>
            </a:solidFill>
            <a:ln>
              <a:noFill/>
            </a:ln>
            <a:effectLst/>
          </c:spPr>
          <c:invertIfNegative val="0"/>
          <c:cat>
            <c:strRef>
              <c:f>Analysis!$G$18:$G$23</c:f>
              <c:strCache>
                <c:ptCount val="5"/>
                <c:pt idx="0">
                  <c:v>Rent</c:v>
                </c:pt>
                <c:pt idx="1">
                  <c:v>Groceries</c:v>
                </c:pt>
                <c:pt idx="2">
                  <c:v>Clothes</c:v>
                </c:pt>
                <c:pt idx="3">
                  <c:v>Entertainment</c:v>
                </c:pt>
                <c:pt idx="4">
                  <c:v>Fueling</c:v>
                </c:pt>
              </c:strCache>
            </c:strRef>
          </c:cat>
          <c:val>
            <c:numRef>
              <c:f>Analysis!$H$18:$H$23</c:f>
              <c:numCache>
                <c:formatCode>"$"#,##0</c:formatCode>
                <c:ptCount val="5"/>
                <c:pt idx="0">
                  <c:v>900</c:v>
                </c:pt>
                <c:pt idx="1">
                  <c:v>616.79999999999995</c:v>
                </c:pt>
                <c:pt idx="2">
                  <c:v>395</c:v>
                </c:pt>
                <c:pt idx="3">
                  <c:v>268.2</c:v>
                </c:pt>
                <c:pt idx="4">
                  <c:v>157.9</c:v>
                </c:pt>
              </c:numCache>
            </c:numRef>
          </c:val>
          <c:extLst>
            <c:ext xmlns:c16="http://schemas.microsoft.com/office/drawing/2014/chart" uri="{C3380CC4-5D6E-409C-BE32-E72D297353CC}">
              <c16:uniqueId val="{00000000-CD60-4595-9387-B0D4508CA5B8}"/>
            </c:ext>
          </c:extLst>
        </c:ser>
        <c:dLbls>
          <c:showLegendKey val="0"/>
          <c:showVal val="0"/>
          <c:showCatName val="0"/>
          <c:showSerName val="0"/>
          <c:showPercent val="0"/>
          <c:showBubbleSize val="0"/>
        </c:dLbls>
        <c:gapWidth val="182"/>
        <c:axId val="522154655"/>
        <c:axId val="522156095"/>
      </c:barChart>
      <c:catAx>
        <c:axId val="522154655"/>
        <c:scaling>
          <c:orientation val="maxMin"/>
        </c:scaling>
        <c:delete val="0"/>
        <c:axPos val="l"/>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156095"/>
        <c:crosses val="autoZero"/>
        <c:auto val="1"/>
        <c:lblAlgn val="ctr"/>
        <c:lblOffset val="100"/>
        <c:noMultiLvlLbl val="0"/>
      </c:catAx>
      <c:valAx>
        <c:axId val="522156095"/>
        <c:scaling>
          <c:orientation val="minMax"/>
        </c:scaling>
        <c:delete val="1"/>
        <c:axPos val="t"/>
        <c:numFmt formatCode="&quot;$&quot;#,##0" sourceLinked="1"/>
        <c:majorTickMark val="none"/>
        <c:minorTickMark val="none"/>
        <c:tickLblPos val="nextTo"/>
        <c:crossAx val="5221546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[himanshu_project.xlsm]Analysis!PivotTable5</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percentStacked"/>
        <c:varyColors val="0"/>
        <c:ser>
          <c:idx val="0"/>
          <c:order val="0"/>
          <c:tx>
            <c:strRef>
              <c:f>Analysis!$G$29</c:f>
              <c:strCache>
                <c:ptCount val="1"/>
                <c:pt idx="0">
                  <c:v>Sum of Debit</c:v>
                </c:pt>
              </c:strCache>
            </c:strRef>
          </c:tx>
          <c:spPr>
            <a:solidFill>
              <a:schemeClr val="accent1"/>
            </a:solidFill>
            <a:ln>
              <a:noFill/>
            </a:ln>
            <a:effectLst/>
          </c:spPr>
          <c:invertIfNegative val="0"/>
          <c:cat>
            <c:strRef>
              <c:f>Analysis!$G$30</c:f>
              <c:strCache>
                <c:ptCount val="1"/>
                <c:pt idx="0">
                  <c:v>Total</c:v>
                </c:pt>
              </c:strCache>
            </c:strRef>
          </c:cat>
          <c:val>
            <c:numRef>
              <c:f>Analysis!$G$30</c:f>
              <c:numCache>
                <c:formatCode>"$"#,##0</c:formatCode>
                <c:ptCount val="1"/>
                <c:pt idx="0">
                  <c:v>3098.7</c:v>
                </c:pt>
              </c:numCache>
            </c:numRef>
          </c:val>
          <c:extLst>
            <c:ext xmlns:c16="http://schemas.microsoft.com/office/drawing/2014/chart" uri="{C3380CC4-5D6E-409C-BE32-E72D297353CC}">
              <c16:uniqueId val="{00000000-A427-4C26-B710-25B3F9927F36}"/>
            </c:ext>
          </c:extLst>
        </c:ser>
        <c:ser>
          <c:idx val="1"/>
          <c:order val="1"/>
          <c:tx>
            <c:strRef>
              <c:f>Analysis!$H$29</c:f>
              <c:strCache>
                <c:ptCount val="1"/>
                <c:pt idx="0">
                  <c:v>Sum of Credit</c:v>
                </c:pt>
              </c:strCache>
            </c:strRef>
          </c:tx>
          <c:spPr>
            <a:solidFill>
              <a:schemeClr val="accent2"/>
            </a:solidFill>
            <a:ln>
              <a:noFill/>
            </a:ln>
            <a:effectLst/>
          </c:spPr>
          <c:invertIfNegative val="0"/>
          <c:cat>
            <c:strRef>
              <c:f>Analysis!$G$30</c:f>
              <c:strCache>
                <c:ptCount val="1"/>
                <c:pt idx="0">
                  <c:v>Total</c:v>
                </c:pt>
              </c:strCache>
            </c:strRef>
          </c:cat>
          <c:val>
            <c:numRef>
              <c:f>Analysis!$H$30</c:f>
              <c:numCache>
                <c:formatCode>"$"#,##0</c:formatCode>
                <c:ptCount val="1"/>
                <c:pt idx="0">
                  <c:v>5100</c:v>
                </c:pt>
              </c:numCache>
            </c:numRef>
          </c:val>
          <c:extLst>
            <c:ext xmlns:c16="http://schemas.microsoft.com/office/drawing/2014/chart" uri="{C3380CC4-5D6E-409C-BE32-E72D297353CC}">
              <c16:uniqueId val="{00000001-A427-4C26-B710-25B3F9927F36}"/>
            </c:ext>
          </c:extLst>
        </c:ser>
        <c:ser>
          <c:idx val="2"/>
          <c:order val="2"/>
          <c:tx>
            <c:strRef>
              <c:f>Analysis!$I$29</c:f>
              <c:strCache>
                <c:ptCount val="1"/>
                <c:pt idx="0">
                  <c:v>Sum of Amount</c:v>
                </c:pt>
              </c:strCache>
            </c:strRef>
          </c:tx>
          <c:spPr>
            <a:solidFill>
              <a:schemeClr val="accent3"/>
            </a:solidFill>
            <a:ln>
              <a:noFill/>
            </a:ln>
            <a:effectLst/>
          </c:spPr>
          <c:invertIfNegative val="0"/>
          <c:cat>
            <c:strRef>
              <c:f>Analysis!$G$30</c:f>
              <c:strCache>
                <c:ptCount val="1"/>
                <c:pt idx="0">
                  <c:v>Total</c:v>
                </c:pt>
              </c:strCache>
            </c:strRef>
          </c:cat>
          <c:val>
            <c:numRef>
              <c:f>Analysis!$I$30</c:f>
              <c:numCache>
                <c:formatCode>"$"#,##0</c:formatCode>
                <c:ptCount val="1"/>
                <c:pt idx="0">
                  <c:v>2001.3000000000002</c:v>
                </c:pt>
              </c:numCache>
            </c:numRef>
          </c:val>
          <c:extLst>
            <c:ext xmlns:c16="http://schemas.microsoft.com/office/drawing/2014/chart" uri="{C3380CC4-5D6E-409C-BE32-E72D297353CC}">
              <c16:uniqueId val="{00000002-A427-4C26-B710-25B3F9927F36}"/>
            </c:ext>
          </c:extLst>
        </c:ser>
        <c:dLbls>
          <c:showLegendKey val="0"/>
          <c:showVal val="0"/>
          <c:showCatName val="0"/>
          <c:showSerName val="0"/>
          <c:showPercent val="0"/>
          <c:showBubbleSize val="0"/>
        </c:dLbls>
        <c:gapWidth val="150"/>
        <c:overlap val="100"/>
        <c:axId val="1819286832"/>
        <c:axId val="1819288272"/>
      </c:barChart>
      <c:catAx>
        <c:axId val="1819286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9288272"/>
        <c:crosses val="autoZero"/>
        <c:auto val="1"/>
        <c:lblAlgn val="ctr"/>
        <c:lblOffset val="100"/>
        <c:noMultiLvlLbl val="0"/>
      </c:catAx>
      <c:valAx>
        <c:axId val="1819288272"/>
        <c:scaling>
          <c:orientation val="minMax"/>
        </c:scaling>
        <c:delete val="1"/>
        <c:axPos val="l"/>
        <c:numFmt formatCode="0%" sourceLinked="1"/>
        <c:majorTickMark val="none"/>
        <c:minorTickMark val="none"/>
        <c:tickLblPos val="nextTo"/>
        <c:crossAx val="1819286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[himanshu_project.xlsm]Analysis!PivotTable6</c:name>
    <c:fmtId val="4"/>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Analysis!$H$40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8F0-4639-8BB8-3A1FA4AA16B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8F0-4639-8BB8-3A1FA4AA16B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5190-492D-9B83-D1C4A538C3B6}"/>
              </c:ext>
            </c:extLst>
          </c:dPt>
          <c:cat>
            <c:strRef>
              <c:f>Analysis!$G$41:$G$44</c:f>
              <c:strCache>
                <c:ptCount val="3"/>
                <c:pt idx="0">
                  <c:v>DWD</c:v>
                </c:pt>
                <c:pt idx="1">
                  <c:v>Teachable</c:v>
                </c:pt>
                <c:pt idx="2">
                  <c:v>YouTube</c:v>
                </c:pt>
              </c:strCache>
            </c:strRef>
          </c:cat>
          <c:val>
            <c:numRef>
              <c:f>Analysis!$H$41:$H$44</c:f>
              <c:numCache>
                <c:formatCode>"$"#,##0</c:formatCode>
                <c:ptCount val="3"/>
                <c:pt idx="0">
                  <c:v>50000</c:v>
                </c:pt>
                <c:pt idx="1">
                  <c:v>4500</c:v>
                </c:pt>
                <c:pt idx="2">
                  <c:v>10940</c:v>
                </c:pt>
              </c:numCache>
            </c:numRef>
          </c:val>
          <c:extLst>
            <c:ext xmlns:c16="http://schemas.microsoft.com/office/drawing/2014/chart" uri="{C3380CC4-5D6E-409C-BE32-E72D297353CC}">
              <c16:uniqueId val="{00000000-5190-492D-9B83-D1C4A538C3B6}"/>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[himanshu_project.xlsm]Analysis!PivotTable7</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percentStacked"/>
        <c:varyColors val="0"/>
        <c:ser>
          <c:idx val="0"/>
          <c:order val="0"/>
          <c:tx>
            <c:strRef>
              <c:f>Analysis!$H$52:$H$53</c:f>
              <c:strCache>
                <c:ptCount val="1"/>
                <c:pt idx="0">
                  <c:v>Living Expenses</c:v>
                </c:pt>
              </c:strCache>
            </c:strRef>
          </c:tx>
          <c:spPr>
            <a:solidFill>
              <a:schemeClr val="accent1"/>
            </a:solidFill>
            <a:ln>
              <a:noFill/>
            </a:ln>
            <a:effectLst/>
          </c:spPr>
          <c:invertIfNegative val="0"/>
          <c:cat>
            <c:strRef>
              <c:f>Analysis!$G$54:$G$61</c:f>
              <c:strCache>
                <c:ptCount val="7"/>
                <c:pt idx="0">
                  <c:v>Sun</c:v>
                </c:pt>
                <c:pt idx="1">
                  <c:v>Mon</c:v>
                </c:pt>
                <c:pt idx="2">
                  <c:v>Tue</c:v>
                </c:pt>
                <c:pt idx="3">
                  <c:v>Wed</c:v>
                </c:pt>
                <c:pt idx="4">
                  <c:v>Thu</c:v>
                </c:pt>
                <c:pt idx="5">
                  <c:v>Fri</c:v>
                </c:pt>
                <c:pt idx="6">
                  <c:v>Sat</c:v>
                </c:pt>
              </c:strCache>
            </c:strRef>
          </c:cat>
          <c:val>
            <c:numRef>
              <c:f>Analysis!$H$54:$H$61</c:f>
              <c:numCache>
                <c:formatCode>"$"#,##0</c:formatCode>
                <c:ptCount val="7"/>
                <c:pt idx="1">
                  <c:v>59</c:v>
                </c:pt>
                <c:pt idx="2">
                  <c:v>40</c:v>
                </c:pt>
                <c:pt idx="3">
                  <c:v>900</c:v>
                </c:pt>
                <c:pt idx="5">
                  <c:v>616.79999999999995</c:v>
                </c:pt>
              </c:numCache>
            </c:numRef>
          </c:val>
          <c:extLst>
            <c:ext xmlns:c16="http://schemas.microsoft.com/office/drawing/2014/chart" uri="{C3380CC4-5D6E-409C-BE32-E72D297353CC}">
              <c16:uniqueId val="{00000000-C215-47DE-9DC9-1673E65E8826}"/>
            </c:ext>
          </c:extLst>
        </c:ser>
        <c:ser>
          <c:idx val="1"/>
          <c:order val="1"/>
          <c:tx>
            <c:strRef>
              <c:f>Analysis!$I$52:$I$53</c:f>
              <c:strCache>
                <c:ptCount val="1"/>
                <c:pt idx="0">
                  <c:v>Discretionary</c:v>
                </c:pt>
              </c:strCache>
            </c:strRef>
          </c:tx>
          <c:spPr>
            <a:solidFill>
              <a:schemeClr val="accent2"/>
            </a:solidFill>
            <a:ln>
              <a:noFill/>
            </a:ln>
            <a:effectLst/>
          </c:spPr>
          <c:invertIfNegative val="0"/>
          <c:cat>
            <c:strRef>
              <c:f>Analysis!$G$54:$G$61</c:f>
              <c:strCache>
                <c:ptCount val="7"/>
                <c:pt idx="0">
                  <c:v>Sun</c:v>
                </c:pt>
                <c:pt idx="1">
                  <c:v>Mon</c:v>
                </c:pt>
                <c:pt idx="2">
                  <c:v>Tue</c:v>
                </c:pt>
                <c:pt idx="3">
                  <c:v>Wed</c:v>
                </c:pt>
                <c:pt idx="4">
                  <c:v>Thu</c:v>
                </c:pt>
                <c:pt idx="5">
                  <c:v>Fri</c:v>
                </c:pt>
                <c:pt idx="6">
                  <c:v>Sat</c:v>
                </c:pt>
              </c:strCache>
            </c:strRef>
          </c:cat>
          <c:val>
            <c:numRef>
              <c:f>Analysis!$I$54:$I$61</c:f>
              <c:numCache>
                <c:formatCode>"$"#,##0</c:formatCode>
                <c:ptCount val="7"/>
                <c:pt idx="0">
                  <c:v>154.49999999999997</c:v>
                </c:pt>
                <c:pt idx="3">
                  <c:v>89.1</c:v>
                </c:pt>
                <c:pt idx="6">
                  <c:v>473.7</c:v>
                </c:pt>
              </c:numCache>
            </c:numRef>
          </c:val>
          <c:extLst>
            <c:ext xmlns:c16="http://schemas.microsoft.com/office/drawing/2014/chart" uri="{C3380CC4-5D6E-409C-BE32-E72D297353CC}">
              <c16:uniqueId val="{00000001-C215-47DE-9DC9-1673E65E8826}"/>
            </c:ext>
          </c:extLst>
        </c:ser>
        <c:ser>
          <c:idx val="2"/>
          <c:order val="2"/>
          <c:tx>
            <c:strRef>
              <c:f>Analysis!$J$52:$J$53</c:f>
              <c:strCache>
                <c:ptCount val="1"/>
                <c:pt idx="0">
                  <c:v>Transport</c:v>
                </c:pt>
              </c:strCache>
            </c:strRef>
          </c:tx>
          <c:spPr>
            <a:solidFill>
              <a:schemeClr val="accent3"/>
            </a:solidFill>
            <a:ln>
              <a:noFill/>
            </a:ln>
            <a:effectLst/>
          </c:spPr>
          <c:invertIfNegative val="0"/>
          <c:cat>
            <c:strRef>
              <c:f>Analysis!$G$54:$G$61</c:f>
              <c:strCache>
                <c:ptCount val="7"/>
                <c:pt idx="0">
                  <c:v>Sun</c:v>
                </c:pt>
                <c:pt idx="1">
                  <c:v>Mon</c:v>
                </c:pt>
                <c:pt idx="2">
                  <c:v>Tue</c:v>
                </c:pt>
                <c:pt idx="3">
                  <c:v>Wed</c:v>
                </c:pt>
                <c:pt idx="4">
                  <c:v>Thu</c:v>
                </c:pt>
                <c:pt idx="5">
                  <c:v>Fri</c:v>
                </c:pt>
                <c:pt idx="6">
                  <c:v>Sat</c:v>
                </c:pt>
              </c:strCache>
            </c:strRef>
          </c:cat>
          <c:val>
            <c:numRef>
              <c:f>Analysis!$J$54:$J$61</c:f>
              <c:numCache>
                <c:formatCode>"$"#,##0</c:formatCode>
                <c:ptCount val="7"/>
                <c:pt idx="0">
                  <c:v>69.300000000000011</c:v>
                </c:pt>
                <c:pt idx="1">
                  <c:v>71.500000000000028</c:v>
                </c:pt>
                <c:pt idx="3">
                  <c:v>236.39999999999998</c:v>
                </c:pt>
              </c:numCache>
            </c:numRef>
          </c:val>
          <c:extLst>
            <c:ext xmlns:c16="http://schemas.microsoft.com/office/drawing/2014/chart" uri="{C3380CC4-5D6E-409C-BE32-E72D297353CC}">
              <c16:uniqueId val="{00000002-C215-47DE-9DC9-1673E65E8826}"/>
            </c:ext>
          </c:extLst>
        </c:ser>
        <c:ser>
          <c:idx val="3"/>
          <c:order val="3"/>
          <c:tx>
            <c:strRef>
              <c:f>Analysis!$K$52:$K$53</c:f>
              <c:strCache>
                <c:ptCount val="1"/>
                <c:pt idx="0">
                  <c:v>Dining Out</c:v>
                </c:pt>
              </c:strCache>
            </c:strRef>
          </c:tx>
          <c:spPr>
            <a:solidFill>
              <a:schemeClr val="accent4"/>
            </a:solidFill>
            <a:ln>
              <a:noFill/>
            </a:ln>
            <a:effectLst/>
          </c:spPr>
          <c:invertIfNegative val="0"/>
          <c:cat>
            <c:strRef>
              <c:f>Analysis!$G$54:$G$61</c:f>
              <c:strCache>
                <c:ptCount val="7"/>
                <c:pt idx="0">
                  <c:v>Sun</c:v>
                </c:pt>
                <c:pt idx="1">
                  <c:v>Mon</c:v>
                </c:pt>
                <c:pt idx="2">
                  <c:v>Tue</c:v>
                </c:pt>
                <c:pt idx="3">
                  <c:v>Wed</c:v>
                </c:pt>
                <c:pt idx="4">
                  <c:v>Thu</c:v>
                </c:pt>
                <c:pt idx="5">
                  <c:v>Fri</c:v>
                </c:pt>
                <c:pt idx="6">
                  <c:v>Sat</c:v>
                </c:pt>
              </c:strCache>
            </c:strRef>
          </c:cat>
          <c:val>
            <c:numRef>
              <c:f>Analysis!$K$54:$K$61</c:f>
              <c:numCache>
                <c:formatCode>"$"#,##0</c:formatCode>
                <c:ptCount val="7"/>
                <c:pt idx="0">
                  <c:v>41.099999999999994</c:v>
                </c:pt>
                <c:pt idx="1">
                  <c:v>20</c:v>
                </c:pt>
                <c:pt idx="2">
                  <c:v>15</c:v>
                </c:pt>
                <c:pt idx="3">
                  <c:v>25</c:v>
                </c:pt>
                <c:pt idx="4">
                  <c:v>20</c:v>
                </c:pt>
                <c:pt idx="5">
                  <c:v>25</c:v>
                </c:pt>
                <c:pt idx="6">
                  <c:v>112.30000000000001</c:v>
                </c:pt>
              </c:numCache>
            </c:numRef>
          </c:val>
          <c:extLst>
            <c:ext xmlns:c16="http://schemas.microsoft.com/office/drawing/2014/chart" uri="{C3380CC4-5D6E-409C-BE32-E72D297353CC}">
              <c16:uniqueId val="{00000003-C215-47DE-9DC9-1673E65E8826}"/>
            </c:ext>
          </c:extLst>
        </c:ser>
        <c:ser>
          <c:idx val="4"/>
          <c:order val="4"/>
          <c:tx>
            <c:strRef>
              <c:f>Analysis!$L$52:$L$53</c:f>
              <c:strCache>
                <c:ptCount val="1"/>
                <c:pt idx="0">
                  <c:v>Charity</c:v>
                </c:pt>
              </c:strCache>
            </c:strRef>
          </c:tx>
          <c:spPr>
            <a:solidFill>
              <a:schemeClr val="accent5"/>
            </a:solidFill>
            <a:ln>
              <a:noFill/>
            </a:ln>
            <a:effectLst/>
          </c:spPr>
          <c:invertIfNegative val="0"/>
          <c:cat>
            <c:strRef>
              <c:f>Analysis!$G$54:$G$61</c:f>
              <c:strCache>
                <c:ptCount val="7"/>
                <c:pt idx="0">
                  <c:v>Sun</c:v>
                </c:pt>
                <c:pt idx="1">
                  <c:v>Mon</c:v>
                </c:pt>
                <c:pt idx="2">
                  <c:v>Tue</c:v>
                </c:pt>
                <c:pt idx="3">
                  <c:v>Wed</c:v>
                </c:pt>
                <c:pt idx="4">
                  <c:v>Thu</c:v>
                </c:pt>
                <c:pt idx="5">
                  <c:v>Fri</c:v>
                </c:pt>
                <c:pt idx="6">
                  <c:v>Sat</c:v>
                </c:pt>
              </c:strCache>
            </c:strRef>
          </c:cat>
          <c:val>
            <c:numRef>
              <c:f>Analysis!$L$54:$L$61</c:f>
              <c:numCache>
                <c:formatCode>"$"#,##0</c:formatCode>
                <c:ptCount val="7"/>
                <c:pt idx="1">
                  <c:v>55</c:v>
                </c:pt>
              </c:numCache>
            </c:numRef>
          </c:val>
          <c:extLst>
            <c:ext xmlns:c16="http://schemas.microsoft.com/office/drawing/2014/chart" uri="{C3380CC4-5D6E-409C-BE32-E72D297353CC}">
              <c16:uniqueId val="{00000004-C215-47DE-9DC9-1673E65E8826}"/>
            </c:ext>
          </c:extLst>
        </c:ser>
        <c:ser>
          <c:idx val="5"/>
          <c:order val="5"/>
          <c:tx>
            <c:strRef>
              <c:f>Analysis!$M$52:$M$53</c:f>
              <c:strCache>
                <c:ptCount val="1"/>
                <c:pt idx="0">
                  <c:v>Medical</c:v>
                </c:pt>
              </c:strCache>
            </c:strRef>
          </c:tx>
          <c:spPr>
            <a:solidFill>
              <a:schemeClr val="accent6"/>
            </a:solidFill>
            <a:ln>
              <a:noFill/>
            </a:ln>
            <a:effectLst/>
          </c:spPr>
          <c:invertIfNegative val="0"/>
          <c:cat>
            <c:strRef>
              <c:f>Analysis!$G$54:$G$61</c:f>
              <c:strCache>
                <c:ptCount val="7"/>
                <c:pt idx="0">
                  <c:v>Sun</c:v>
                </c:pt>
                <c:pt idx="1">
                  <c:v>Mon</c:v>
                </c:pt>
                <c:pt idx="2">
                  <c:v>Tue</c:v>
                </c:pt>
                <c:pt idx="3">
                  <c:v>Wed</c:v>
                </c:pt>
                <c:pt idx="4">
                  <c:v>Thu</c:v>
                </c:pt>
                <c:pt idx="5">
                  <c:v>Fri</c:v>
                </c:pt>
                <c:pt idx="6">
                  <c:v>Sat</c:v>
                </c:pt>
              </c:strCache>
            </c:strRef>
          </c:cat>
          <c:val>
            <c:numRef>
              <c:f>Analysis!$M$54:$M$61</c:f>
              <c:numCache>
                <c:formatCode>"$"#,##0</c:formatCode>
                <c:ptCount val="7"/>
                <c:pt idx="2">
                  <c:v>75</c:v>
                </c:pt>
              </c:numCache>
            </c:numRef>
          </c:val>
          <c:extLst>
            <c:ext xmlns:c16="http://schemas.microsoft.com/office/drawing/2014/chart" uri="{C3380CC4-5D6E-409C-BE32-E72D297353CC}">
              <c16:uniqueId val="{00000001-EC32-4BF7-872E-2C68D4E6EB5B}"/>
            </c:ext>
          </c:extLst>
        </c:ser>
        <c:dLbls>
          <c:showLegendKey val="0"/>
          <c:showVal val="0"/>
          <c:showCatName val="0"/>
          <c:showSerName val="0"/>
          <c:showPercent val="0"/>
          <c:showBubbleSize val="0"/>
        </c:dLbls>
        <c:gapWidth val="150"/>
        <c:overlap val="100"/>
        <c:axId val="1771617408"/>
        <c:axId val="1771618848"/>
      </c:barChart>
      <c:catAx>
        <c:axId val="1771617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1618848"/>
        <c:crosses val="autoZero"/>
        <c:auto val="1"/>
        <c:lblAlgn val="ctr"/>
        <c:lblOffset val="100"/>
        <c:noMultiLvlLbl val="0"/>
      </c:catAx>
      <c:valAx>
        <c:axId val="1771618848"/>
        <c:scaling>
          <c:orientation val="minMax"/>
        </c:scaling>
        <c:delete val="1"/>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17716174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Analysis!$N$80</c:f>
              <c:strCache>
                <c:ptCount val="1"/>
                <c:pt idx="0">
                  <c:v>Sum of Debit</c:v>
                </c:pt>
              </c:strCache>
            </c:strRef>
          </c:tx>
          <c:spPr>
            <a:solidFill>
              <a:schemeClr val="accent1"/>
            </a:solidFill>
            <a:ln>
              <a:noFill/>
            </a:ln>
            <a:effectLst/>
          </c:spPr>
          <c:invertIfNegative val="0"/>
          <c:cat>
            <c:strRef>
              <c:f>Analysis!$M$81:$M$90</c:f>
              <c:strCache>
                <c:ptCount val="10"/>
                <c:pt idx="0">
                  <c:v>Jan</c:v>
                </c:pt>
                <c:pt idx="1">
                  <c:v>Feb</c:v>
                </c:pt>
                <c:pt idx="2">
                  <c:v>Mar</c:v>
                </c:pt>
                <c:pt idx="3">
                  <c:v>Apr</c:v>
                </c:pt>
                <c:pt idx="4">
                  <c:v>May</c:v>
                </c:pt>
                <c:pt idx="5">
                  <c:v>Jun</c:v>
                </c:pt>
                <c:pt idx="6">
                  <c:v>Jul</c:v>
                </c:pt>
                <c:pt idx="7">
                  <c:v>Aug</c:v>
                </c:pt>
                <c:pt idx="8">
                  <c:v>Sep</c:v>
                </c:pt>
                <c:pt idx="9">
                  <c:v>Oct</c:v>
                </c:pt>
              </c:strCache>
            </c:strRef>
          </c:cat>
          <c:val>
            <c:numRef>
              <c:f>Analysis!$N$81:$N$90</c:f>
              <c:numCache>
                <c:formatCode>General</c:formatCode>
                <c:ptCount val="10"/>
                <c:pt idx="0">
                  <c:v>1895</c:v>
                </c:pt>
                <c:pt idx="1">
                  <c:v>1874.7000000000003</c:v>
                </c:pt>
                <c:pt idx="2">
                  <c:v>1971</c:v>
                </c:pt>
                <c:pt idx="3">
                  <c:v>1827.4</c:v>
                </c:pt>
                <c:pt idx="4">
                  <c:v>1961.1999999999998</c:v>
                </c:pt>
                <c:pt idx="5">
                  <c:v>1896.2</c:v>
                </c:pt>
                <c:pt idx="6">
                  <c:v>1945.4999999999998</c:v>
                </c:pt>
                <c:pt idx="7">
                  <c:v>1822.6</c:v>
                </c:pt>
                <c:pt idx="8">
                  <c:v>1955.9</c:v>
                </c:pt>
                <c:pt idx="9">
                  <c:v>1949.2</c:v>
                </c:pt>
              </c:numCache>
            </c:numRef>
          </c:val>
          <c:extLst>
            <c:ext xmlns:c16="http://schemas.microsoft.com/office/drawing/2014/chart" uri="{C3380CC4-5D6E-409C-BE32-E72D297353CC}">
              <c16:uniqueId val="{00000000-2634-4B08-B819-003255DCDA61}"/>
            </c:ext>
          </c:extLst>
        </c:ser>
        <c:dLbls>
          <c:showLegendKey val="0"/>
          <c:showVal val="0"/>
          <c:showCatName val="0"/>
          <c:showSerName val="0"/>
          <c:showPercent val="0"/>
          <c:showBubbleSize val="0"/>
        </c:dLbls>
        <c:gapWidth val="219"/>
        <c:overlap val="-27"/>
        <c:axId val="527464831"/>
        <c:axId val="527480671"/>
      </c:barChart>
      <c:catAx>
        <c:axId val="5274648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480671"/>
        <c:crosses val="autoZero"/>
        <c:auto val="1"/>
        <c:lblAlgn val="ctr"/>
        <c:lblOffset val="100"/>
        <c:noMultiLvlLbl val="0"/>
      </c:catAx>
      <c:valAx>
        <c:axId val="527480671"/>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274648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[himanshu_project.xlsm]Analysis!PivotTable4</c:name>
    <c:fmtId val="1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5C38FF"/>
          </a:solidFill>
          <a:ln>
            <a:noFill/>
          </a:ln>
          <a:effectLst/>
        </c:spPr>
        <c:marker>
          <c:symbol val="none"/>
        </c:marker>
      </c:pivotFmt>
    </c:pivotFmts>
    <c:plotArea>
      <c:layout/>
      <c:barChart>
        <c:barDir val="bar"/>
        <c:grouping val="clustered"/>
        <c:varyColors val="0"/>
        <c:ser>
          <c:idx val="0"/>
          <c:order val="0"/>
          <c:tx>
            <c:strRef>
              <c:f>Analysis!$H$17</c:f>
              <c:strCache>
                <c:ptCount val="1"/>
                <c:pt idx="0">
                  <c:v>Total</c:v>
                </c:pt>
              </c:strCache>
            </c:strRef>
          </c:tx>
          <c:spPr>
            <a:solidFill>
              <a:srgbClr val="5C38FF"/>
            </a:solidFill>
            <a:ln>
              <a:noFill/>
            </a:ln>
            <a:effectLst/>
          </c:spPr>
          <c:invertIfNegative val="0"/>
          <c:cat>
            <c:strRef>
              <c:f>Analysis!$G$18:$G$23</c:f>
              <c:strCache>
                <c:ptCount val="5"/>
                <c:pt idx="0">
                  <c:v>Rent</c:v>
                </c:pt>
                <c:pt idx="1">
                  <c:v>Groceries</c:v>
                </c:pt>
                <c:pt idx="2">
                  <c:v>Clothes</c:v>
                </c:pt>
                <c:pt idx="3">
                  <c:v>Entertainment</c:v>
                </c:pt>
                <c:pt idx="4">
                  <c:v>Fueling</c:v>
                </c:pt>
              </c:strCache>
            </c:strRef>
          </c:cat>
          <c:val>
            <c:numRef>
              <c:f>Analysis!$H$18:$H$23</c:f>
              <c:numCache>
                <c:formatCode>"$"#,##0</c:formatCode>
                <c:ptCount val="5"/>
                <c:pt idx="0">
                  <c:v>900</c:v>
                </c:pt>
                <c:pt idx="1">
                  <c:v>616.79999999999995</c:v>
                </c:pt>
                <c:pt idx="2">
                  <c:v>395</c:v>
                </c:pt>
                <c:pt idx="3">
                  <c:v>268.2</c:v>
                </c:pt>
                <c:pt idx="4">
                  <c:v>157.9</c:v>
                </c:pt>
              </c:numCache>
            </c:numRef>
          </c:val>
          <c:extLst>
            <c:ext xmlns:c16="http://schemas.microsoft.com/office/drawing/2014/chart" uri="{C3380CC4-5D6E-409C-BE32-E72D297353CC}">
              <c16:uniqueId val="{00000000-16BB-48A1-B1A6-08F850074E18}"/>
            </c:ext>
          </c:extLst>
        </c:ser>
        <c:dLbls>
          <c:showLegendKey val="0"/>
          <c:showVal val="0"/>
          <c:showCatName val="0"/>
          <c:showSerName val="0"/>
          <c:showPercent val="0"/>
          <c:showBubbleSize val="0"/>
        </c:dLbls>
        <c:gapWidth val="182"/>
        <c:overlap val="7"/>
        <c:axId val="522154655"/>
        <c:axId val="522156095"/>
      </c:barChart>
      <c:catAx>
        <c:axId val="522154655"/>
        <c:scaling>
          <c:orientation val="maxMin"/>
        </c:scaling>
        <c:delete val="0"/>
        <c:axPos val="l"/>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522156095"/>
        <c:crosses val="autoZero"/>
        <c:auto val="1"/>
        <c:lblAlgn val="ctr"/>
        <c:lblOffset val="100"/>
        <c:noMultiLvlLbl val="0"/>
      </c:catAx>
      <c:valAx>
        <c:axId val="522156095"/>
        <c:scaling>
          <c:orientation val="minMax"/>
        </c:scaling>
        <c:delete val="1"/>
        <c:axPos val="t"/>
        <c:numFmt formatCode="&quot;$&quot;#,##0" sourceLinked="1"/>
        <c:majorTickMark val="none"/>
        <c:minorTickMark val="none"/>
        <c:tickLblPos val="nextTo"/>
        <c:crossAx val="5221546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222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[himanshu_project.xlsm]Analysis!PivotTable7</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manualLayout>
          <c:layoutTarget val="inner"/>
          <c:xMode val="edge"/>
          <c:yMode val="edge"/>
          <c:x val="4.312801270933448E-2"/>
          <c:y val="0.40925475655434485"/>
          <c:w val="0.88386092342724765"/>
          <c:h val="0.4424014714641985"/>
        </c:manualLayout>
      </c:layout>
      <c:barChart>
        <c:barDir val="col"/>
        <c:grouping val="percentStacked"/>
        <c:varyColors val="0"/>
        <c:ser>
          <c:idx val="0"/>
          <c:order val="0"/>
          <c:tx>
            <c:strRef>
              <c:f>Analysis!$H$52:$H$53</c:f>
              <c:strCache>
                <c:ptCount val="1"/>
                <c:pt idx="0">
                  <c:v>Living Expenses</c:v>
                </c:pt>
              </c:strCache>
            </c:strRef>
          </c:tx>
          <c:spPr>
            <a:solidFill>
              <a:schemeClr val="accent1"/>
            </a:solidFill>
            <a:ln>
              <a:noFill/>
            </a:ln>
            <a:effectLst/>
          </c:spPr>
          <c:invertIfNegative val="0"/>
          <c:cat>
            <c:strRef>
              <c:f>Analysis!$G$54:$G$61</c:f>
              <c:strCache>
                <c:ptCount val="7"/>
                <c:pt idx="0">
                  <c:v>Sun</c:v>
                </c:pt>
                <c:pt idx="1">
                  <c:v>Mon</c:v>
                </c:pt>
                <c:pt idx="2">
                  <c:v>Tue</c:v>
                </c:pt>
                <c:pt idx="3">
                  <c:v>Wed</c:v>
                </c:pt>
                <c:pt idx="4">
                  <c:v>Thu</c:v>
                </c:pt>
                <c:pt idx="5">
                  <c:v>Fri</c:v>
                </c:pt>
                <c:pt idx="6">
                  <c:v>Sat</c:v>
                </c:pt>
              </c:strCache>
            </c:strRef>
          </c:cat>
          <c:val>
            <c:numRef>
              <c:f>Analysis!$H$54:$H$61</c:f>
              <c:numCache>
                <c:formatCode>"$"#,##0</c:formatCode>
                <c:ptCount val="7"/>
                <c:pt idx="1">
                  <c:v>59</c:v>
                </c:pt>
                <c:pt idx="2">
                  <c:v>40</c:v>
                </c:pt>
                <c:pt idx="3">
                  <c:v>900</c:v>
                </c:pt>
                <c:pt idx="5">
                  <c:v>616.79999999999995</c:v>
                </c:pt>
              </c:numCache>
            </c:numRef>
          </c:val>
          <c:extLst>
            <c:ext xmlns:c16="http://schemas.microsoft.com/office/drawing/2014/chart" uri="{C3380CC4-5D6E-409C-BE32-E72D297353CC}">
              <c16:uniqueId val="{00000000-73D7-4668-8F4D-AB054C070BE9}"/>
            </c:ext>
          </c:extLst>
        </c:ser>
        <c:ser>
          <c:idx val="1"/>
          <c:order val="1"/>
          <c:tx>
            <c:strRef>
              <c:f>Analysis!$I$52:$I$53</c:f>
              <c:strCache>
                <c:ptCount val="1"/>
                <c:pt idx="0">
                  <c:v>Discretionary</c:v>
                </c:pt>
              </c:strCache>
            </c:strRef>
          </c:tx>
          <c:spPr>
            <a:solidFill>
              <a:schemeClr val="accent2"/>
            </a:solidFill>
            <a:ln>
              <a:noFill/>
            </a:ln>
            <a:effectLst/>
          </c:spPr>
          <c:invertIfNegative val="0"/>
          <c:cat>
            <c:strRef>
              <c:f>Analysis!$G$54:$G$61</c:f>
              <c:strCache>
                <c:ptCount val="7"/>
                <c:pt idx="0">
                  <c:v>Sun</c:v>
                </c:pt>
                <c:pt idx="1">
                  <c:v>Mon</c:v>
                </c:pt>
                <c:pt idx="2">
                  <c:v>Tue</c:v>
                </c:pt>
                <c:pt idx="3">
                  <c:v>Wed</c:v>
                </c:pt>
                <c:pt idx="4">
                  <c:v>Thu</c:v>
                </c:pt>
                <c:pt idx="5">
                  <c:v>Fri</c:v>
                </c:pt>
                <c:pt idx="6">
                  <c:v>Sat</c:v>
                </c:pt>
              </c:strCache>
            </c:strRef>
          </c:cat>
          <c:val>
            <c:numRef>
              <c:f>Analysis!$I$54:$I$61</c:f>
              <c:numCache>
                <c:formatCode>"$"#,##0</c:formatCode>
                <c:ptCount val="7"/>
                <c:pt idx="0">
                  <c:v>154.49999999999997</c:v>
                </c:pt>
                <c:pt idx="3">
                  <c:v>89.1</c:v>
                </c:pt>
                <c:pt idx="6">
                  <c:v>473.7</c:v>
                </c:pt>
              </c:numCache>
            </c:numRef>
          </c:val>
          <c:extLst>
            <c:ext xmlns:c16="http://schemas.microsoft.com/office/drawing/2014/chart" uri="{C3380CC4-5D6E-409C-BE32-E72D297353CC}">
              <c16:uniqueId val="{00000001-73D7-4668-8F4D-AB054C070BE9}"/>
            </c:ext>
          </c:extLst>
        </c:ser>
        <c:ser>
          <c:idx val="2"/>
          <c:order val="2"/>
          <c:tx>
            <c:strRef>
              <c:f>Analysis!$J$52:$J$53</c:f>
              <c:strCache>
                <c:ptCount val="1"/>
                <c:pt idx="0">
                  <c:v>Transport</c:v>
                </c:pt>
              </c:strCache>
            </c:strRef>
          </c:tx>
          <c:spPr>
            <a:solidFill>
              <a:schemeClr val="accent3"/>
            </a:solidFill>
            <a:ln>
              <a:noFill/>
            </a:ln>
            <a:effectLst/>
          </c:spPr>
          <c:invertIfNegative val="0"/>
          <c:cat>
            <c:strRef>
              <c:f>Analysis!$G$54:$G$61</c:f>
              <c:strCache>
                <c:ptCount val="7"/>
                <c:pt idx="0">
                  <c:v>Sun</c:v>
                </c:pt>
                <c:pt idx="1">
                  <c:v>Mon</c:v>
                </c:pt>
                <c:pt idx="2">
                  <c:v>Tue</c:v>
                </c:pt>
                <c:pt idx="3">
                  <c:v>Wed</c:v>
                </c:pt>
                <c:pt idx="4">
                  <c:v>Thu</c:v>
                </c:pt>
                <c:pt idx="5">
                  <c:v>Fri</c:v>
                </c:pt>
                <c:pt idx="6">
                  <c:v>Sat</c:v>
                </c:pt>
              </c:strCache>
            </c:strRef>
          </c:cat>
          <c:val>
            <c:numRef>
              <c:f>Analysis!$J$54:$J$61</c:f>
              <c:numCache>
                <c:formatCode>"$"#,##0</c:formatCode>
                <c:ptCount val="7"/>
                <c:pt idx="0">
                  <c:v>69.300000000000011</c:v>
                </c:pt>
                <c:pt idx="1">
                  <c:v>71.500000000000028</c:v>
                </c:pt>
                <c:pt idx="3">
                  <c:v>236.39999999999998</c:v>
                </c:pt>
              </c:numCache>
            </c:numRef>
          </c:val>
          <c:extLst>
            <c:ext xmlns:c16="http://schemas.microsoft.com/office/drawing/2014/chart" uri="{C3380CC4-5D6E-409C-BE32-E72D297353CC}">
              <c16:uniqueId val="{00000002-73D7-4668-8F4D-AB054C070BE9}"/>
            </c:ext>
          </c:extLst>
        </c:ser>
        <c:ser>
          <c:idx val="3"/>
          <c:order val="3"/>
          <c:tx>
            <c:strRef>
              <c:f>Analysis!$K$52:$K$53</c:f>
              <c:strCache>
                <c:ptCount val="1"/>
                <c:pt idx="0">
                  <c:v>Dining Out</c:v>
                </c:pt>
              </c:strCache>
            </c:strRef>
          </c:tx>
          <c:spPr>
            <a:solidFill>
              <a:schemeClr val="accent4"/>
            </a:solidFill>
            <a:ln>
              <a:noFill/>
            </a:ln>
            <a:effectLst/>
          </c:spPr>
          <c:invertIfNegative val="0"/>
          <c:cat>
            <c:strRef>
              <c:f>Analysis!$G$54:$G$61</c:f>
              <c:strCache>
                <c:ptCount val="7"/>
                <c:pt idx="0">
                  <c:v>Sun</c:v>
                </c:pt>
                <c:pt idx="1">
                  <c:v>Mon</c:v>
                </c:pt>
                <c:pt idx="2">
                  <c:v>Tue</c:v>
                </c:pt>
                <c:pt idx="3">
                  <c:v>Wed</c:v>
                </c:pt>
                <c:pt idx="4">
                  <c:v>Thu</c:v>
                </c:pt>
                <c:pt idx="5">
                  <c:v>Fri</c:v>
                </c:pt>
                <c:pt idx="6">
                  <c:v>Sat</c:v>
                </c:pt>
              </c:strCache>
            </c:strRef>
          </c:cat>
          <c:val>
            <c:numRef>
              <c:f>Analysis!$K$54:$K$61</c:f>
              <c:numCache>
                <c:formatCode>"$"#,##0</c:formatCode>
                <c:ptCount val="7"/>
                <c:pt idx="0">
                  <c:v>41.099999999999994</c:v>
                </c:pt>
                <c:pt idx="1">
                  <c:v>20</c:v>
                </c:pt>
                <c:pt idx="2">
                  <c:v>15</c:v>
                </c:pt>
                <c:pt idx="3">
                  <c:v>25</c:v>
                </c:pt>
                <c:pt idx="4">
                  <c:v>20</c:v>
                </c:pt>
                <c:pt idx="5">
                  <c:v>25</c:v>
                </c:pt>
                <c:pt idx="6">
                  <c:v>112.30000000000001</c:v>
                </c:pt>
              </c:numCache>
            </c:numRef>
          </c:val>
          <c:extLst>
            <c:ext xmlns:c16="http://schemas.microsoft.com/office/drawing/2014/chart" uri="{C3380CC4-5D6E-409C-BE32-E72D297353CC}">
              <c16:uniqueId val="{00000003-73D7-4668-8F4D-AB054C070BE9}"/>
            </c:ext>
          </c:extLst>
        </c:ser>
        <c:ser>
          <c:idx val="4"/>
          <c:order val="4"/>
          <c:tx>
            <c:strRef>
              <c:f>Analysis!$L$52:$L$53</c:f>
              <c:strCache>
                <c:ptCount val="1"/>
                <c:pt idx="0">
                  <c:v>Charity</c:v>
                </c:pt>
              </c:strCache>
            </c:strRef>
          </c:tx>
          <c:spPr>
            <a:solidFill>
              <a:schemeClr val="accent5"/>
            </a:solidFill>
            <a:ln>
              <a:noFill/>
            </a:ln>
            <a:effectLst/>
          </c:spPr>
          <c:invertIfNegative val="0"/>
          <c:cat>
            <c:strRef>
              <c:f>Analysis!$G$54:$G$61</c:f>
              <c:strCache>
                <c:ptCount val="7"/>
                <c:pt idx="0">
                  <c:v>Sun</c:v>
                </c:pt>
                <c:pt idx="1">
                  <c:v>Mon</c:v>
                </c:pt>
                <c:pt idx="2">
                  <c:v>Tue</c:v>
                </c:pt>
                <c:pt idx="3">
                  <c:v>Wed</c:v>
                </c:pt>
                <c:pt idx="4">
                  <c:v>Thu</c:v>
                </c:pt>
                <c:pt idx="5">
                  <c:v>Fri</c:v>
                </c:pt>
                <c:pt idx="6">
                  <c:v>Sat</c:v>
                </c:pt>
              </c:strCache>
            </c:strRef>
          </c:cat>
          <c:val>
            <c:numRef>
              <c:f>Analysis!$L$54:$L$61</c:f>
              <c:numCache>
                <c:formatCode>"$"#,##0</c:formatCode>
                <c:ptCount val="7"/>
                <c:pt idx="1">
                  <c:v>55</c:v>
                </c:pt>
              </c:numCache>
            </c:numRef>
          </c:val>
          <c:extLst>
            <c:ext xmlns:c16="http://schemas.microsoft.com/office/drawing/2014/chart" uri="{C3380CC4-5D6E-409C-BE32-E72D297353CC}">
              <c16:uniqueId val="{00000004-73D7-4668-8F4D-AB054C070BE9}"/>
            </c:ext>
          </c:extLst>
        </c:ser>
        <c:ser>
          <c:idx val="5"/>
          <c:order val="5"/>
          <c:tx>
            <c:strRef>
              <c:f>Analysis!$M$52:$M$53</c:f>
              <c:strCache>
                <c:ptCount val="1"/>
                <c:pt idx="0">
                  <c:v>Medical</c:v>
                </c:pt>
              </c:strCache>
            </c:strRef>
          </c:tx>
          <c:spPr>
            <a:solidFill>
              <a:schemeClr val="accent6"/>
            </a:solidFill>
            <a:ln>
              <a:noFill/>
            </a:ln>
            <a:effectLst/>
          </c:spPr>
          <c:invertIfNegative val="0"/>
          <c:cat>
            <c:strRef>
              <c:f>Analysis!$G$54:$G$61</c:f>
              <c:strCache>
                <c:ptCount val="7"/>
                <c:pt idx="0">
                  <c:v>Sun</c:v>
                </c:pt>
                <c:pt idx="1">
                  <c:v>Mon</c:v>
                </c:pt>
                <c:pt idx="2">
                  <c:v>Tue</c:v>
                </c:pt>
                <c:pt idx="3">
                  <c:v>Wed</c:v>
                </c:pt>
                <c:pt idx="4">
                  <c:v>Thu</c:v>
                </c:pt>
                <c:pt idx="5">
                  <c:v>Fri</c:v>
                </c:pt>
                <c:pt idx="6">
                  <c:v>Sat</c:v>
                </c:pt>
              </c:strCache>
            </c:strRef>
          </c:cat>
          <c:val>
            <c:numRef>
              <c:f>Analysis!$M$54:$M$61</c:f>
              <c:numCache>
                <c:formatCode>"$"#,##0</c:formatCode>
                <c:ptCount val="7"/>
                <c:pt idx="2">
                  <c:v>75</c:v>
                </c:pt>
              </c:numCache>
            </c:numRef>
          </c:val>
          <c:extLst>
            <c:ext xmlns:c16="http://schemas.microsoft.com/office/drawing/2014/chart" uri="{C3380CC4-5D6E-409C-BE32-E72D297353CC}">
              <c16:uniqueId val="{00000001-F252-4C04-8C08-B6E040A97C54}"/>
            </c:ext>
          </c:extLst>
        </c:ser>
        <c:dLbls>
          <c:showLegendKey val="0"/>
          <c:showVal val="0"/>
          <c:showCatName val="0"/>
          <c:showSerName val="0"/>
          <c:showPercent val="0"/>
          <c:showBubbleSize val="0"/>
        </c:dLbls>
        <c:gapWidth val="150"/>
        <c:overlap val="100"/>
        <c:axId val="1771617408"/>
        <c:axId val="1771618848"/>
      </c:barChart>
      <c:catAx>
        <c:axId val="1771617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771618848"/>
        <c:crosses val="autoZero"/>
        <c:auto val="1"/>
        <c:lblAlgn val="ctr"/>
        <c:lblOffset val="100"/>
        <c:noMultiLvlLbl val="0"/>
      </c:catAx>
      <c:valAx>
        <c:axId val="1771618848"/>
        <c:scaling>
          <c:orientation val="minMax"/>
        </c:scaling>
        <c:delete val="1"/>
        <c:axPos val="l"/>
        <c:numFmt formatCode="0%" sourceLinked="1"/>
        <c:majorTickMark val="none"/>
        <c:minorTickMark val="none"/>
        <c:tickLblPos val="nextTo"/>
        <c:crossAx val="1771617408"/>
        <c:crosses val="autoZero"/>
        <c:crossBetween val="between"/>
      </c:valAx>
      <c:spPr>
        <a:noFill/>
        <a:ln>
          <a:noFill/>
        </a:ln>
        <a:effectLst/>
      </c:spPr>
    </c:plotArea>
    <c:legend>
      <c:legendPos val="t"/>
      <c:layout>
        <c:manualLayout>
          <c:xMode val="edge"/>
          <c:yMode val="edge"/>
          <c:x val="6.2518638895972273E-3"/>
          <c:y val="9.968354171003864E-2"/>
          <c:w val="0.95902560945716742"/>
          <c:h val="0.28530915540634688"/>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5.9139809982139524E-2"/>
          <c:y val="0.11458323935101759"/>
          <c:w val="0.9408599516794417"/>
          <c:h val="0.59168504619008666"/>
        </c:manualLayout>
      </c:layout>
      <c:barChart>
        <c:barDir val="col"/>
        <c:grouping val="clustered"/>
        <c:varyColors val="0"/>
        <c:ser>
          <c:idx val="0"/>
          <c:order val="0"/>
          <c:tx>
            <c:strRef>
              <c:f>Analysis!$N$80</c:f>
              <c:strCache>
                <c:ptCount val="1"/>
                <c:pt idx="0">
                  <c:v>Sum of Debit</c:v>
                </c:pt>
              </c:strCache>
            </c:strRef>
          </c:tx>
          <c:spPr>
            <a:solidFill>
              <a:schemeClr val="accent2"/>
            </a:solidFill>
            <a:ln>
              <a:noFill/>
            </a:ln>
            <a:effectLst/>
          </c:spPr>
          <c:invertIfNegative val="0"/>
          <c:cat>
            <c:strRef>
              <c:f>Analysis!$M$81:$M$90</c:f>
              <c:strCache>
                <c:ptCount val="10"/>
                <c:pt idx="0">
                  <c:v>Jan</c:v>
                </c:pt>
                <c:pt idx="1">
                  <c:v>Feb</c:v>
                </c:pt>
                <c:pt idx="2">
                  <c:v>Mar</c:v>
                </c:pt>
                <c:pt idx="3">
                  <c:v>Apr</c:v>
                </c:pt>
                <c:pt idx="4">
                  <c:v>May</c:v>
                </c:pt>
                <c:pt idx="5">
                  <c:v>Jun</c:v>
                </c:pt>
                <c:pt idx="6">
                  <c:v>Jul</c:v>
                </c:pt>
                <c:pt idx="7">
                  <c:v>Aug</c:v>
                </c:pt>
                <c:pt idx="8">
                  <c:v>Sep</c:v>
                </c:pt>
                <c:pt idx="9">
                  <c:v>Oct</c:v>
                </c:pt>
              </c:strCache>
            </c:strRef>
          </c:cat>
          <c:val>
            <c:numRef>
              <c:f>Analysis!$N$81:$N$90</c:f>
              <c:numCache>
                <c:formatCode>General</c:formatCode>
                <c:ptCount val="10"/>
                <c:pt idx="0">
                  <c:v>1895</c:v>
                </c:pt>
                <c:pt idx="1">
                  <c:v>1874.7000000000003</c:v>
                </c:pt>
                <c:pt idx="2">
                  <c:v>1971</c:v>
                </c:pt>
                <c:pt idx="3">
                  <c:v>1827.4</c:v>
                </c:pt>
                <c:pt idx="4">
                  <c:v>1961.1999999999998</c:v>
                </c:pt>
                <c:pt idx="5">
                  <c:v>1896.2</c:v>
                </c:pt>
                <c:pt idx="6">
                  <c:v>1945.4999999999998</c:v>
                </c:pt>
                <c:pt idx="7">
                  <c:v>1822.6</c:v>
                </c:pt>
                <c:pt idx="8">
                  <c:v>1955.9</c:v>
                </c:pt>
                <c:pt idx="9">
                  <c:v>1949.2</c:v>
                </c:pt>
              </c:numCache>
            </c:numRef>
          </c:val>
          <c:extLst>
            <c:ext xmlns:c16="http://schemas.microsoft.com/office/drawing/2014/chart" uri="{C3380CC4-5D6E-409C-BE32-E72D297353CC}">
              <c16:uniqueId val="{00000000-460C-4171-B786-77A8ECACEF18}"/>
            </c:ext>
          </c:extLst>
        </c:ser>
        <c:dLbls>
          <c:showLegendKey val="0"/>
          <c:showVal val="0"/>
          <c:showCatName val="0"/>
          <c:showSerName val="0"/>
          <c:showPercent val="0"/>
          <c:showBubbleSize val="0"/>
        </c:dLbls>
        <c:gapWidth val="79"/>
        <c:overlap val="71"/>
        <c:axId val="527464831"/>
        <c:axId val="527480671"/>
      </c:barChart>
      <c:catAx>
        <c:axId val="5274648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527480671"/>
        <c:crosses val="autoZero"/>
        <c:auto val="1"/>
        <c:lblAlgn val="ctr"/>
        <c:lblOffset val="100"/>
        <c:noMultiLvlLbl val="0"/>
      </c:catAx>
      <c:valAx>
        <c:axId val="527480671"/>
        <c:scaling>
          <c:orientation val="minMax"/>
        </c:scaling>
        <c:delete val="1"/>
        <c:axPos val="l"/>
        <c:numFmt formatCode="General" sourceLinked="1"/>
        <c:majorTickMark val="none"/>
        <c:minorTickMark val="none"/>
        <c:tickLblPos val="nextTo"/>
        <c:crossAx val="5274648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[himanshu_project.xlsm]Analysis!PivotTable5</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585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5C38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8.8566827697262485E-2"/>
          <c:w val="0.69631321370309962"/>
          <c:h val="0.72465162869134114"/>
        </c:manualLayout>
      </c:layout>
      <c:barChart>
        <c:barDir val="col"/>
        <c:grouping val="percentStacked"/>
        <c:varyColors val="0"/>
        <c:ser>
          <c:idx val="0"/>
          <c:order val="0"/>
          <c:tx>
            <c:strRef>
              <c:f>Analysis!$G$29</c:f>
              <c:strCache>
                <c:ptCount val="1"/>
                <c:pt idx="0">
                  <c:v>Sum of Debit</c:v>
                </c:pt>
              </c:strCache>
            </c:strRef>
          </c:tx>
          <c:spPr>
            <a:solidFill>
              <a:srgbClr val="FF585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Analysis!$G$30</c:f>
              <c:strCache>
                <c:ptCount val="1"/>
                <c:pt idx="0">
                  <c:v>Total</c:v>
                </c:pt>
              </c:strCache>
            </c:strRef>
          </c:cat>
          <c:val>
            <c:numRef>
              <c:f>Analysis!$G$30</c:f>
              <c:numCache>
                <c:formatCode>"$"#,##0</c:formatCode>
                <c:ptCount val="1"/>
                <c:pt idx="0">
                  <c:v>3098.7</c:v>
                </c:pt>
              </c:numCache>
            </c:numRef>
          </c:val>
          <c:extLst>
            <c:ext xmlns:c16="http://schemas.microsoft.com/office/drawing/2014/chart" uri="{C3380CC4-5D6E-409C-BE32-E72D297353CC}">
              <c16:uniqueId val="{00000000-D678-4D5D-AB40-137CF87937B5}"/>
            </c:ext>
          </c:extLst>
        </c:ser>
        <c:ser>
          <c:idx val="1"/>
          <c:order val="1"/>
          <c:tx>
            <c:strRef>
              <c:f>Analysis!$H$29</c:f>
              <c:strCache>
                <c:ptCount val="1"/>
                <c:pt idx="0">
                  <c:v>Sum of Credit</c:v>
                </c:pt>
              </c:strCache>
            </c:strRef>
          </c:tx>
          <c:spPr>
            <a:solidFill>
              <a:schemeClr val="bg1">
                <a:lumMod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Analysis!$G$30</c:f>
              <c:strCache>
                <c:ptCount val="1"/>
                <c:pt idx="0">
                  <c:v>Total</c:v>
                </c:pt>
              </c:strCache>
            </c:strRef>
          </c:cat>
          <c:val>
            <c:numRef>
              <c:f>Analysis!$H$30</c:f>
              <c:numCache>
                <c:formatCode>"$"#,##0</c:formatCode>
                <c:ptCount val="1"/>
                <c:pt idx="0">
                  <c:v>5100</c:v>
                </c:pt>
              </c:numCache>
            </c:numRef>
          </c:val>
          <c:extLst>
            <c:ext xmlns:c16="http://schemas.microsoft.com/office/drawing/2014/chart" uri="{C3380CC4-5D6E-409C-BE32-E72D297353CC}">
              <c16:uniqueId val="{00000001-D678-4D5D-AB40-137CF87937B5}"/>
            </c:ext>
          </c:extLst>
        </c:ser>
        <c:ser>
          <c:idx val="2"/>
          <c:order val="2"/>
          <c:tx>
            <c:strRef>
              <c:f>Analysis!$I$29</c:f>
              <c:strCache>
                <c:ptCount val="1"/>
                <c:pt idx="0">
                  <c:v>Sum of Amount</c:v>
                </c:pt>
              </c:strCache>
            </c:strRef>
          </c:tx>
          <c:spPr>
            <a:solidFill>
              <a:srgbClr val="5C38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Analysis!$G$30</c:f>
              <c:strCache>
                <c:ptCount val="1"/>
                <c:pt idx="0">
                  <c:v>Total</c:v>
                </c:pt>
              </c:strCache>
            </c:strRef>
          </c:cat>
          <c:val>
            <c:numRef>
              <c:f>Analysis!$I$30</c:f>
              <c:numCache>
                <c:formatCode>"$"#,##0</c:formatCode>
                <c:ptCount val="1"/>
                <c:pt idx="0">
                  <c:v>2001.3000000000002</c:v>
                </c:pt>
              </c:numCache>
            </c:numRef>
          </c:val>
          <c:extLst>
            <c:ext xmlns:c16="http://schemas.microsoft.com/office/drawing/2014/chart" uri="{C3380CC4-5D6E-409C-BE32-E72D297353CC}">
              <c16:uniqueId val="{00000002-D678-4D5D-AB40-137CF87937B5}"/>
            </c:ext>
          </c:extLst>
        </c:ser>
        <c:dLbls>
          <c:dLblPos val="ctr"/>
          <c:showLegendKey val="0"/>
          <c:showVal val="1"/>
          <c:showCatName val="0"/>
          <c:showSerName val="0"/>
          <c:showPercent val="0"/>
          <c:showBubbleSize val="0"/>
        </c:dLbls>
        <c:gapWidth val="150"/>
        <c:overlap val="100"/>
        <c:axId val="1819286832"/>
        <c:axId val="1819288272"/>
      </c:barChart>
      <c:catAx>
        <c:axId val="1819286832"/>
        <c:scaling>
          <c:orientation val="minMax"/>
        </c:scaling>
        <c:delete val="1"/>
        <c:axPos val="b"/>
        <c:numFmt formatCode="General" sourceLinked="1"/>
        <c:majorTickMark val="none"/>
        <c:minorTickMark val="none"/>
        <c:tickLblPos val="nextTo"/>
        <c:crossAx val="1819288272"/>
        <c:crosses val="autoZero"/>
        <c:auto val="1"/>
        <c:lblAlgn val="ctr"/>
        <c:lblOffset val="100"/>
        <c:noMultiLvlLbl val="0"/>
      </c:catAx>
      <c:valAx>
        <c:axId val="1819288272"/>
        <c:scaling>
          <c:orientation val="minMax"/>
        </c:scaling>
        <c:delete val="1"/>
        <c:axPos val="l"/>
        <c:numFmt formatCode="0%" sourceLinked="1"/>
        <c:majorTickMark val="none"/>
        <c:minorTickMark val="none"/>
        <c:tickLblPos val="nextTo"/>
        <c:crossAx val="1819286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[himanshu_project.xlsm]Analysis!PivotTable6</c:name>
    <c:fmtId val="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0">
            <a:solidFill>
              <a:schemeClr val="lt1"/>
            </a:solidFill>
          </a:ln>
          <a:effectLst/>
        </c:spPr>
        <c:marker>
          <c:symbol val="none"/>
        </c:marker>
      </c:pivotFmt>
      <c:pivotFmt>
        <c:idx val="6"/>
        <c:spPr>
          <a:solidFill>
            <a:schemeClr val="bg1">
              <a:lumMod val="65000"/>
            </a:schemeClr>
          </a:solidFill>
          <a:ln w="0">
            <a:solidFill>
              <a:schemeClr val="lt1"/>
            </a:solidFill>
          </a:ln>
          <a:effectLst/>
        </c:spPr>
      </c:pivotFmt>
      <c:pivotFmt>
        <c:idx val="7"/>
        <c:spPr>
          <a:solidFill>
            <a:srgbClr val="FF5858"/>
          </a:solidFill>
          <a:ln w="0">
            <a:solidFill>
              <a:schemeClr val="lt1"/>
            </a:solidFill>
          </a:ln>
          <a:effectLst/>
        </c:spPr>
      </c:pivotFmt>
      <c:pivotFmt>
        <c:idx val="8"/>
        <c:spPr>
          <a:solidFill>
            <a:srgbClr val="FFD058"/>
          </a:solidFill>
          <a:ln w="146050">
            <a:solidFill>
              <a:srgbClr val="FFD058"/>
            </a:solidFill>
          </a:ln>
          <a:effectLst/>
        </c:spPr>
      </c:pivotFmt>
    </c:pivotFmts>
    <c:plotArea>
      <c:layout>
        <c:manualLayout>
          <c:layoutTarget val="inner"/>
          <c:xMode val="edge"/>
          <c:yMode val="edge"/>
          <c:x val="0.26306690445824532"/>
          <c:y val="7.8891931986762517E-2"/>
          <c:w val="0.49972024799026643"/>
          <c:h val="0.61898171112213385"/>
        </c:manualLayout>
      </c:layout>
      <c:doughnutChart>
        <c:varyColors val="1"/>
        <c:ser>
          <c:idx val="0"/>
          <c:order val="0"/>
          <c:tx>
            <c:strRef>
              <c:f>Analysis!$H$40</c:f>
              <c:strCache>
                <c:ptCount val="1"/>
                <c:pt idx="0">
                  <c:v>Total</c:v>
                </c:pt>
              </c:strCache>
            </c:strRef>
          </c:tx>
          <c:spPr>
            <a:ln w="0"/>
          </c:spPr>
          <c:dPt>
            <c:idx val="0"/>
            <c:bubble3D val="0"/>
            <c:spPr>
              <a:solidFill>
                <a:schemeClr val="bg1">
                  <a:lumMod val="65000"/>
                </a:schemeClr>
              </a:solidFill>
              <a:ln w="0">
                <a:solidFill>
                  <a:schemeClr val="lt1"/>
                </a:solidFill>
              </a:ln>
              <a:effectLst/>
            </c:spPr>
            <c:extLst>
              <c:ext xmlns:c16="http://schemas.microsoft.com/office/drawing/2014/chart" uri="{C3380CC4-5D6E-409C-BE32-E72D297353CC}">
                <c16:uniqueId val="{00000001-92DB-4227-A343-3D152A957DAC}"/>
              </c:ext>
            </c:extLst>
          </c:dPt>
          <c:dPt>
            <c:idx val="1"/>
            <c:bubble3D val="0"/>
            <c:spPr>
              <a:solidFill>
                <a:srgbClr val="FF5858"/>
              </a:solidFill>
              <a:ln w="0">
                <a:solidFill>
                  <a:schemeClr val="lt1"/>
                </a:solidFill>
              </a:ln>
              <a:effectLst/>
            </c:spPr>
            <c:extLst>
              <c:ext xmlns:c16="http://schemas.microsoft.com/office/drawing/2014/chart" uri="{C3380CC4-5D6E-409C-BE32-E72D297353CC}">
                <c16:uniqueId val="{00000003-92DB-4227-A343-3D152A957DAC}"/>
              </c:ext>
            </c:extLst>
          </c:dPt>
          <c:dPt>
            <c:idx val="2"/>
            <c:bubble3D val="0"/>
            <c:spPr>
              <a:solidFill>
                <a:srgbClr val="FFD058"/>
              </a:solidFill>
              <a:ln w="146050">
                <a:solidFill>
                  <a:srgbClr val="FFD058"/>
                </a:solidFill>
              </a:ln>
              <a:effectLst/>
            </c:spPr>
            <c:extLst>
              <c:ext xmlns:c16="http://schemas.microsoft.com/office/drawing/2014/chart" uri="{C3380CC4-5D6E-409C-BE32-E72D297353CC}">
                <c16:uniqueId val="{00000005-92DB-4227-A343-3D152A957DAC}"/>
              </c:ext>
            </c:extLst>
          </c:dPt>
          <c:cat>
            <c:strRef>
              <c:f>Analysis!$G$41:$G$44</c:f>
              <c:strCache>
                <c:ptCount val="3"/>
                <c:pt idx="0">
                  <c:v>DWD</c:v>
                </c:pt>
                <c:pt idx="1">
                  <c:v>Teachable</c:v>
                </c:pt>
                <c:pt idx="2">
                  <c:v>YouTube</c:v>
                </c:pt>
              </c:strCache>
            </c:strRef>
          </c:cat>
          <c:val>
            <c:numRef>
              <c:f>Analysis!$H$41:$H$44</c:f>
              <c:numCache>
                <c:formatCode>"$"#,##0</c:formatCode>
                <c:ptCount val="3"/>
                <c:pt idx="0">
                  <c:v>50000</c:v>
                </c:pt>
                <c:pt idx="1">
                  <c:v>4500</c:v>
                </c:pt>
                <c:pt idx="2">
                  <c:v>10940</c:v>
                </c:pt>
              </c:numCache>
            </c:numRef>
          </c:val>
          <c:extLst>
            <c:ext xmlns:c16="http://schemas.microsoft.com/office/drawing/2014/chart" uri="{C3380CC4-5D6E-409C-BE32-E72D297353CC}">
              <c16:uniqueId val="{00000006-92DB-4227-A343-3D152A957DA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2700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val">
        <cx:f>_xlchart.v1.5</cx:f>
      </cx:numDim>
    </cx:data>
  </cx:chartData>
  <cx:chart>
    <cx:plotArea>
      <cx:plotAreaRegion>
        <cx:series layoutId="waterfall" uniqueId="{0005B645-C615-4240-B097-4C6B6943EC49}">
          <cx:tx>
            <cx:txData>
              <cx:f>_xlchart.v1.4</cx:f>
              <cx:v>Sum of Amount</cx:v>
            </cx:txData>
          </cx:tx>
          <cx:dataLabels>
            <cx:visibility seriesName="0" categoryName="0" value="1"/>
          </cx:dataLabels>
          <cx:dataId val="0"/>
          <cx:layoutPr>
            <cx:subtotals/>
          </cx:layoutPr>
        </cx:series>
      </cx:plotAreaRegion>
      <cx:axis id="0">
        <cx:catScaling gapWidth="0.5"/>
        <cx:tickLabels/>
      </cx:axis>
      <cx:axis id="1" hidden="1">
        <cx:valScaling/>
        <cx:majorGridlines/>
        <cx:tickLabels/>
      </cx:axis>
    </cx:plotArea>
    <cx:legend pos="t"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
    <cx:plotArea>
      <cx:plotAreaRegion/>
    </cx:plotArea>
  </cx:chart>
  <cx:spPr>
    <a:noFill/>
    <a:ln>
      <a:noFill/>
    </a:ln>
  </cx:spPr>
  <cx:fmtOvrs>
    <cx:fmtOvr idx="1">
      <cx:spPr>
        <a:solidFill>
          <a:srgbClr val="FF5858"/>
        </a:solidFill>
      </cx:spPr>
    </cx:fmtOvr>
    <cx:fmtOvr idx="2">
      <cx:spPr>
        <a:solidFill>
          <a:schemeClr val="bg1">
            <a:lumMod val="75000"/>
          </a:schemeClr>
        </a:solidFill>
      </cx:spPr>
    </cx:fmtOvr>
  </cx:fmtOvrs>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_xlchart.v5.6</cx:f>
      </cx:strDim>
      <cx:numDim type="val">
        <cx:f>_xlchart.v5.8</cx:f>
      </cx:numDim>
    </cx:data>
  </cx:chartData>
  <cx:chart>
    <cx:plotArea>
      <cx:plotAreaRegion>
        <cx:series layoutId="waterfall" uniqueId="{0005B645-C615-4240-B097-4C6B6943EC49}">
          <cx:tx>
            <cx:txData>
              <cx:f>_xlchart.v5.7</cx:f>
              <cx:v>Sum of Amount</cx:v>
            </cx:txData>
          </cx:tx>
          <cx:dataLabels pos="outEnd">
            <cx:txPr>
              <a:bodyPr spcFirstLastPara="1" vertOverflow="ellipsis" horzOverflow="overflow" wrap="square" lIns="0" tIns="0" rIns="0" bIns="0" anchor="ctr" anchorCtr="1"/>
              <a:lstStyle/>
              <a:p>
                <a:pPr algn="ctr" rtl="0">
                  <a:defRPr b="1">
                    <a:solidFill>
                      <a:schemeClr val="bg1"/>
                    </a:solidFill>
                  </a:defRPr>
                </a:pPr>
                <a:endParaRPr lang="en-US" sz="900" b="1" i="0" u="none" strike="noStrike" baseline="0">
                  <a:solidFill>
                    <a:schemeClr val="bg1"/>
                  </a:solidFill>
                  <a:latin typeface="Calibri" panose="020F0502020204030204"/>
                </a:endParaRPr>
              </a:p>
            </cx:txPr>
            <cx:visibility seriesName="0" categoryName="0" value="1"/>
            <cx:separator>, </cx:separator>
          </cx:dataLabels>
          <cx:dataId val="0"/>
          <cx:layoutPr>
            <cx:subtotals>
              <cx:idx val="8"/>
            </cx:subtotals>
          </cx:layoutPr>
        </cx:series>
      </cx:plotAreaRegion>
      <cx:axis id="0">
        <cx:catScaling gapWidth="0.5"/>
        <cx:tickLabels/>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panose="020F0502020204030204"/>
            </a:endParaRPr>
          </a:p>
        </cx:txPr>
      </cx:axis>
      <cx:axis id="1" hidden="1">
        <cx:valScaling/>
        <cx:tickLabels/>
      </cx:axis>
    </cx:plotArea>
    <cx:legend pos="t" align="ctr" overlay="0">
      <cx:txPr>
        <a:bodyPr spcFirstLastPara="1" vertOverflow="ellipsis" horzOverflow="overflow" wrap="square" lIns="0" tIns="0" rIns="0" bIns="0" anchor="ctr" anchorCtr="1"/>
        <a:lstStyle/>
        <a:p>
          <a:pPr algn="ctr" rtl="0">
            <a:defRPr b="1">
              <a:solidFill>
                <a:schemeClr val="bg1"/>
              </a:solidFill>
            </a:defRPr>
          </a:pPr>
          <a:endParaRPr lang="en-US" sz="900" b="1" i="0" u="none" strike="noStrike" baseline="0">
            <a:solidFill>
              <a:schemeClr val="bg1"/>
            </a:solidFill>
            <a:latin typeface="Calibri" panose="020F0502020204030204"/>
          </a:endParaRPr>
        </a:p>
      </cx:txPr>
    </cx:legend>
  </cx:chart>
  <cx:spPr>
    <a:noFill/>
    <a:ln>
      <a:noFill/>
    </a:ln>
  </cx:spPr>
  <cx:fmtOvrs>
    <cx:fmtOvr idx="0">
      <cx:spPr>
        <a:solidFill>
          <a:srgbClr val="5C38FF"/>
        </a:solidFill>
      </cx:spPr>
    </cx:fmtOvr>
    <cx:fmtOvr idx="1">
      <cx:spPr>
        <a:solidFill>
          <a:srgbClr val="FF5858"/>
        </a:solidFill>
      </cx:spPr>
    </cx:fmtOvr>
    <cx:fmtOvr idx="2">
      <cx:spPr>
        <a:solidFill>
          <a:schemeClr val="bg1">
            <a:lumMod val="65000"/>
          </a:schemeClr>
        </a:solidFill>
      </cx:spPr>
    </cx:fmtOvr>
  </cx:fmtOvrs>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Reversed" id="22">
  <a:schemeClr val="accent2"/>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Radio" checked="Checked" firstButton="1" fmlaLink="Analysis!$M$79" lockText="1" noThreeD="1"/>
</file>

<file path=xl/ctrlProps/ctrlProp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microsoft.com/office/2014/relationships/chartEx" Target="../charts/chartEx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image" Target="../media/image14.png"/><Relationship Id="rId18" Type="http://schemas.openxmlformats.org/officeDocument/2006/relationships/image" Target="../media/image19.svg"/><Relationship Id="rId26" Type="http://schemas.microsoft.com/office/2007/relationships/hdphoto" Target="../media/hdphoto1.wdp"/><Relationship Id="rId3" Type="http://schemas.openxmlformats.org/officeDocument/2006/relationships/image" Target="../media/image4.png"/><Relationship Id="rId21" Type="http://schemas.openxmlformats.org/officeDocument/2006/relationships/image" Target="../media/image22.png"/><Relationship Id="rId7" Type="http://schemas.openxmlformats.org/officeDocument/2006/relationships/image" Target="../media/image8.png"/><Relationship Id="rId12" Type="http://schemas.openxmlformats.org/officeDocument/2006/relationships/image" Target="../media/image13.svg"/><Relationship Id="rId17" Type="http://schemas.openxmlformats.org/officeDocument/2006/relationships/image" Target="../media/image18.png"/><Relationship Id="rId25" Type="http://schemas.openxmlformats.org/officeDocument/2006/relationships/image" Target="../media/image26.png"/><Relationship Id="rId2" Type="http://schemas.openxmlformats.org/officeDocument/2006/relationships/image" Target="../media/image3.svg"/><Relationship Id="rId16" Type="http://schemas.openxmlformats.org/officeDocument/2006/relationships/image" Target="../media/image17.svg"/><Relationship Id="rId20" Type="http://schemas.openxmlformats.org/officeDocument/2006/relationships/image" Target="../media/image21.sv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image" Target="../media/image12.png"/><Relationship Id="rId24" Type="http://schemas.openxmlformats.org/officeDocument/2006/relationships/image" Target="../media/image25.svg"/><Relationship Id="rId5" Type="http://schemas.openxmlformats.org/officeDocument/2006/relationships/image" Target="../media/image6.png"/><Relationship Id="rId15" Type="http://schemas.openxmlformats.org/officeDocument/2006/relationships/image" Target="../media/image16.png"/><Relationship Id="rId23" Type="http://schemas.openxmlformats.org/officeDocument/2006/relationships/image" Target="../media/image24.png"/><Relationship Id="rId10" Type="http://schemas.openxmlformats.org/officeDocument/2006/relationships/image" Target="../media/image11.svg"/><Relationship Id="rId19" Type="http://schemas.openxmlformats.org/officeDocument/2006/relationships/image" Target="../media/image20.png"/><Relationship Id="rId4" Type="http://schemas.openxmlformats.org/officeDocument/2006/relationships/image" Target="../media/image5.svg"/><Relationship Id="rId9" Type="http://schemas.openxmlformats.org/officeDocument/2006/relationships/image" Target="../media/image10.png"/><Relationship Id="rId14" Type="http://schemas.openxmlformats.org/officeDocument/2006/relationships/image" Target="../media/image15.svg"/><Relationship Id="rId22" Type="http://schemas.openxmlformats.org/officeDocument/2006/relationships/image" Target="../media/image23.svg"/></Relationships>
</file>

<file path=xl/drawings/_rels/drawing3.xml.rels><?xml version="1.0" encoding="UTF-8" standalone="yes"?>
<Relationships xmlns="http://schemas.openxmlformats.org/package/2006/relationships"><Relationship Id="rId8" Type="http://schemas.openxmlformats.org/officeDocument/2006/relationships/image" Target="../media/image31.png"/><Relationship Id="rId13" Type="http://schemas.openxmlformats.org/officeDocument/2006/relationships/image" Target="../media/image36.svg"/><Relationship Id="rId18" Type="http://schemas.openxmlformats.org/officeDocument/2006/relationships/chart" Target="../charts/chart10.xml"/><Relationship Id="rId26" Type="http://schemas.openxmlformats.org/officeDocument/2006/relationships/image" Target="../media/image40.svg"/><Relationship Id="rId3" Type="http://schemas.openxmlformats.org/officeDocument/2006/relationships/chart" Target="../charts/chart7.xml"/><Relationship Id="rId21" Type="http://schemas.openxmlformats.org/officeDocument/2006/relationships/image" Target="../media/image18.png"/><Relationship Id="rId7" Type="http://schemas.openxmlformats.org/officeDocument/2006/relationships/image" Target="../media/image30.svg"/><Relationship Id="rId12" Type="http://schemas.openxmlformats.org/officeDocument/2006/relationships/image" Target="../media/image35.png"/><Relationship Id="rId17" Type="http://schemas.openxmlformats.org/officeDocument/2006/relationships/chart" Target="../charts/chart9.xml"/><Relationship Id="rId25" Type="http://schemas.openxmlformats.org/officeDocument/2006/relationships/image" Target="../media/image39.png"/><Relationship Id="rId2" Type="http://schemas.openxmlformats.org/officeDocument/2006/relationships/chart" Target="../charts/chart6.xml"/><Relationship Id="rId16" Type="http://schemas.openxmlformats.org/officeDocument/2006/relationships/chart" Target="../charts/chart8.xml"/><Relationship Id="rId20" Type="http://schemas.microsoft.com/office/2014/relationships/chartEx" Target="../charts/chartEx3.xml"/><Relationship Id="rId29" Type="http://schemas.openxmlformats.org/officeDocument/2006/relationships/image" Target="../media/image24.png"/><Relationship Id="rId1" Type="http://schemas.openxmlformats.org/officeDocument/2006/relationships/hyperlink" Target="#Analysis!A1"/><Relationship Id="rId6" Type="http://schemas.openxmlformats.org/officeDocument/2006/relationships/image" Target="../media/image29.png"/><Relationship Id="rId11" Type="http://schemas.openxmlformats.org/officeDocument/2006/relationships/image" Target="../media/image34.svg"/><Relationship Id="rId24" Type="http://schemas.openxmlformats.org/officeDocument/2006/relationships/image" Target="../media/image23.svg"/><Relationship Id="rId32" Type="http://schemas.openxmlformats.org/officeDocument/2006/relationships/image" Target="../media/image21.svg"/><Relationship Id="rId5" Type="http://schemas.openxmlformats.org/officeDocument/2006/relationships/image" Target="../media/image28.svg"/><Relationship Id="rId15" Type="http://schemas.openxmlformats.org/officeDocument/2006/relationships/image" Target="../media/image38.svg"/><Relationship Id="rId23" Type="http://schemas.openxmlformats.org/officeDocument/2006/relationships/image" Target="../media/image22.png"/><Relationship Id="rId28" Type="http://schemas.openxmlformats.org/officeDocument/2006/relationships/image" Target="../media/image42.svg"/><Relationship Id="rId10" Type="http://schemas.openxmlformats.org/officeDocument/2006/relationships/image" Target="../media/image33.png"/><Relationship Id="rId19" Type="http://schemas.microsoft.com/office/2014/relationships/chartEx" Target="../charts/chartEx2.xml"/><Relationship Id="rId31" Type="http://schemas.openxmlformats.org/officeDocument/2006/relationships/image" Target="../media/image20.png"/><Relationship Id="rId4" Type="http://schemas.openxmlformats.org/officeDocument/2006/relationships/image" Target="../media/image27.png"/><Relationship Id="rId9" Type="http://schemas.openxmlformats.org/officeDocument/2006/relationships/image" Target="../media/image32.svg"/><Relationship Id="rId14" Type="http://schemas.openxmlformats.org/officeDocument/2006/relationships/image" Target="../media/image37.png"/><Relationship Id="rId22" Type="http://schemas.openxmlformats.org/officeDocument/2006/relationships/image" Target="../media/image19.svg"/><Relationship Id="rId27" Type="http://schemas.openxmlformats.org/officeDocument/2006/relationships/image" Target="../media/image41.png"/><Relationship Id="rId30" Type="http://schemas.openxmlformats.org/officeDocument/2006/relationships/image" Target="../media/image25.svg"/></Relationships>
</file>

<file path=xl/drawings/drawing1.xml><?xml version="1.0" encoding="utf-8"?>
<xdr:wsDr xmlns:xdr="http://schemas.openxmlformats.org/drawingml/2006/spreadsheetDrawing" xmlns:a="http://schemas.openxmlformats.org/drawingml/2006/main">
  <xdr:twoCellAnchor>
    <xdr:from>
      <xdr:col>8</xdr:col>
      <xdr:colOff>243840</xdr:colOff>
      <xdr:row>2</xdr:row>
      <xdr:rowOff>129540</xdr:rowOff>
    </xdr:from>
    <xdr:to>
      <xdr:col>12</xdr:col>
      <xdr:colOff>449580</xdr:colOff>
      <xdr:row>13</xdr:row>
      <xdr:rowOff>83820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897880" y="495300"/>
              <a:ext cx="2811780" cy="196596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228600</xdr:colOff>
      <xdr:row>14</xdr:row>
      <xdr:rowOff>3810</xdr:rowOff>
    </xdr:from>
    <xdr:to>
      <xdr:col>12</xdr:col>
      <xdr:colOff>457200</xdr:colOff>
      <xdr:row>23</xdr:row>
      <xdr:rowOff>91440</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137160</xdr:colOff>
      <xdr:row>26</xdr:row>
      <xdr:rowOff>38100</xdr:rowOff>
    </xdr:from>
    <xdr:to>
      <xdr:col>12</xdr:col>
      <xdr:colOff>220980</xdr:colOff>
      <xdr:row>34</xdr:row>
      <xdr:rowOff>152400</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114300</xdr:colOff>
      <xdr:row>37</xdr:row>
      <xdr:rowOff>129540</xdr:rowOff>
    </xdr:from>
    <xdr:to>
      <xdr:col>10</xdr:col>
      <xdr:colOff>1112520</xdr:colOff>
      <xdr:row>45</xdr:row>
      <xdr:rowOff>30480</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137160</xdr:colOff>
      <xdr:row>50</xdr:row>
      <xdr:rowOff>167640</xdr:rowOff>
    </xdr:from>
    <xdr:to>
      <xdr:col>17</xdr:col>
      <xdr:colOff>175260</xdr:colOff>
      <xdr:row>61</xdr:row>
      <xdr:rowOff>38100</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342900</xdr:colOff>
      <xdr:row>78</xdr:row>
      <xdr:rowOff>121920</xdr:rowOff>
    </xdr:from>
    <xdr:to>
      <xdr:col>19</xdr:col>
      <xdr:colOff>121920</xdr:colOff>
      <xdr:row>89</xdr:row>
      <xdr:rowOff>133350</xdr:rowOff>
    </xdr:to>
    <xdr:graphicFrame macro="">
      <xdr:nvGraphicFramePr>
        <xdr:cNvPr id="9" name="Chart 8">
          <a:extLst>
            <a:ext uri="{FF2B5EF4-FFF2-40B4-BE49-F238E27FC236}">
              <a16:creationId xmlns:a16="http://schemas.microsoft.com/office/drawing/2014/main" id="{00000000-0008-0000-02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7</xdr:col>
      <xdr:colOff>1445813</xdr:colOff>
      <xdr:row>92</xdr:row>
      <xdr:rowOff>184206</xdr:rowOff>
    </xdr:from>
    <xdr:to>
      <xdr:col>9</xdr:col>
      <xdr:colOff>208471</xdr:colOff>
      <xdr:row>103</xdr:row>
      <xdr:rowOff>113720</xdr:rowOff>
    </xdr:to>
    <mc:AlternateContent xmlns:mc="http://schemas.openxmlformats.org/markup-compatibility/2006">
      <mc:Choice xmlns:a14="http://schemas.microsoft.com/office/drawing/2010/main" Requires="a14">
        <xdr:graphicFrame macro="">
          <xdr:nvGraphicFramePr>
            <xdr:cNvPr id="11" name="Month Number">
              <a:extLst>
                <a:ext uri="{FF2B5EF4-FFF2-40B4-BE49-F238E27FC236}">
                  <a16:creationId xmlns:a16="http://schemas.microsoft.com/office/drawing/2014/main" id="{00000000-0008-0000-0200-00000B000000}"/>
                </a:ext>
              </a:extLst>
            </xdr:cNvPr>
            <xdr:cNvGraphicFramePr/>
          </xdr:nvGraphicFramePr>
          <xdr:xfrm>
            <a:off x="0" y="0"/>
            <a:ext cx="0" cy="0"/>
          </xdr:xfrm>
          <a:graphic>
            <a:graphicData uri="http://schemas.microsoft.com/office/drawing/2010/slicer">
              <sle:slicer xmlns:sle="http://schemas.microsoft.com/office/drawing/2010/slicer" name="Month Number"/>
            </a:graphicData>
          </a:graphic>
        </xdr:graphicFrame>
      </mc:Choice>
      <mc:Fallback>
        <xdr:sp macro="" textlink="">
          <xdr:nvSpPr>
            <xdr:cNvPr id="0" name=""/>
            <xdr:cNvSpPr>
              <a:spLocks noTextEdit="1"/>
            </xdr:cNvSpPr>
          </xdr:nvSpPr>
          <xdr:spPr>
            <a:xfrm>
              <a:off x="6633656" y="17921363"/>
              <a:ext cx="1176454" cy="205026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642730</xdr:colOff>
      <xdr:row>92</xdr:row>
      <xdr:rowOff>27499</xdr:rowOff>
    </xdr:from>
    <xdr:to>
      <xdr:col>7</xdr:col>
      <xdr:colOff>777077</xdr:colOff>
      <xdr:row>105</xdr:row>
      <xdr:rowOff>17974</xdr:rowOff>
    </xdr:to>
    <mc:AlternateContent xmlns:mc="http://schemas.openxmlformats.org/markup-compatibility/2006">
      <mc:Choice xmlns:a14="http://schemas.microsoft.com/office/drawing/2010/main" Requires="a14">
        <xdr:graphicFrame macro="">
          <xdr:nvGraphicFramePr>
            <xdr:cNvPr id="4" name="Category">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4315019" y="17764656"/>
              <a:ext cx="1832781" cy="24968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495300</xdr:colOff>
      <xdr:row>2</xdr:row>
      <xdr:rowOff>16725</xdr:rowOff>
    </xdr:from>
    <xdr:to>
      <xdr:col>1</xdr:col>
      <xdr:colOff>678180</xdr:colOff>
      <xdr:row>6</xdr:row>
      <xdr:rowOff>131025</xdr:rowOff>
    </xdr:to>
    <xdr:pic>
      <xdr:nvPicPr>
        <xdr:cNvPr id="2" name="Graphic 1" descr="Suburban scene">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lum bright="70000" contrast="-70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95300" y="382485"/>
          <a:ext cx="914400" cy="876300"/>
        </a:xfrm>
        <a:prstGeom prst="rect">
          <a:avLst/>
        </a:prstGeom>
      </xdr:spPr>
    </xdr:pic>
    <xdr:clientData/>
  </xdr:twoCellAnchor>
  <xdr:twoCellAnchor editAs="oneCell">
    <xdr:from>
      <xdr:col>0</xdr:col>
      <xdr:colOff>340005</xdr:colOff>
      <xdr:row>8</xdr:row>
      <xdr:rowOff>51930</xdr:rowOff>
    </xdr:from>
    <xdr:to>
      <xdr:col>1</xdr:col>
      <xdr:colOff>522885</xdr:colOff>
      <xdr:row>12</xdr:row>
      <xdr:rowOff>173850</xdr:rowOff>
    </xdr:to>
    <xdr:pic>
      <xdr:nvPicPr>
        <xdr:cNvPr id="4" name="Graphic 3" descr="First aid kit">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lum bright="70000" contrast="-70000"/>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40005" y="1514970"/>
          <a:ext cx="914400" cy="883920"/>
        </a:xfrm>
        <a:prstGeom prst="rect">
          <a:avLst/>
        </a:prstGeom>
      </xdr:spPr>
    </xdr:pic>
    <xdr:clientData/>
  </xdr:twoCellAnchor>
  <xdr:twoCellAnchor editAs="oneCell">
    <xdr:from>
      <xdr:col>0</xdr:col>
      <xdr:colOff>351360</xdr:colOff>
      <xdr:row>13</xdr:row>
      <xdr:rowOff>55665</xdr:rowOff>
    </xdr:from>
    <xdr:to>
      <xdr:col>1</xdr:col>
      <xdr:colOff>534240</xdr:colOff>
      <xdr:row>17</xdr:row>
      <xdr:rowOff>169965</xdr:rowOff>
    </xdr:to>
    <xdr:pic>
      <xdr:nvPicPr>
        <xdr:cNvPr id="8" name="Graphic 7" descr="Car">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51360" y="2433105"/>
          <a:ext cx="914400" cy="876300"/>
        </a:xfrm>
        <a:prstGeom prst="rect">
          <a:avLst/>
        </a:prstGeom>
      </xdr:spPr>
    </xdr:pic>
    <xdr:clientData/>
  </xdr:twoCellAnchor>
  <xdr:twoCellAnchor editAs="oneCell">
    <xdr:from>
      <xdr:col>0</xdr:col>
      <xdr:colOff>276225</xdr:colOff>
      <xdr:row>16</xdr:row>
      <xdr:rowOff>124245</xdr:rowOff>
    </xdr:from>
    <xdr:to>
      <xdr:col>1</xdr:col>
      <xdr:colOff>459105</xdr:colOff>
      <xdr:row>21</xdr:row>
      <xdr:rowOff>55665</xdr:rowOff>
    </xdr:to>
    <xdr:pic>
      <xdr:nvPicPr>
        <xdr:cNvPr id="12" name="Graphic 11" descr="Internet">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7">
          <a:lum bright="70000" contrast="-70000"/>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76225" y="3050325"/>
          <a:ext cx="914400" cy="883920"/>
        </a:xfrm>
        <a:prstGeom prst="rect">
          <a:avLst/>
        </a:prstGeom>
      </xdr:spPr>
    </xdr:pic>
    <xdr:clientData/>
  </xdr:twoCellAnchor>
  <xdr:twoCellAnchor>
    <xdr:from>
      <xdr:col>2</xdr:col>
      <xdr:colOff>598170</xdr:colOff>
      <xdr:row>3</xdr:row>
      <xdr:rowOff>134072</xdr:rowOff>
    </xdr:from>
    <xdr:to>
      <xdr:col>3</xdr:col>
      <xdr:colOff>523477</xdr:colOff>
      <xdr:row>6</xdr:row>
      <xdr:rowOff>120681</xdr:rowOff>
    </xdr:to>
    <xdr:grpSp>
      <xdr:nvGrpSpPr>
        <xdr:cNvPr id="17" name="Group 16">
          <a:extLst>
            <a:ext uri="{FF2B5EF4-FFF2-40B4-BE49-F238E27FC236}">
              <a16:creationId xmlns:a16="http://schemas.microsoft.com/office/drawing/2014/main" id="{00000000-0008-0000-0300-000011000000}"/>
            </a:ext>
          </a:extLst>
        </xdr:cNvPr>
        <xdr:cNvGrpSpPr/>
      </xdr:nvGrpSpPr>
      <xdr:grpSpPr>
        <a:xfrm>
          <a:off x="1817370" y="682712"/>
          <a:ext cx="534907" cy="535249"/>
          <a:chOff x="2724150" y="5556542"/>
          <a:chExt cx="534907" cy="550489"/>
        </a:xfrm>
      </xdr:grpSpPr>
      <xdr:pic>
        <xdr:nvPicPr>
          <xdr:cNvPr id="18" name="Graphic 17" descr="Fruit bowl">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9" cstate="print">
            <a:duotone>
              <a:prstClr val="black"/>
              <a:schemeClr val="tx2">
                <a:tint val="45000"/>
                <a:satMod val="400000"/>
              </a:schemeClr>
            </a:duotone>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877303" y="5556542"/>
            <a:ext cx="228600" cy="228600"/>
          </a:xfrm>
          <a:prstGeom prst="rect">
            <a:avLst/>
          </a:prstGeom>
        </xdr:spPr>
      </xdr:pic>
      <xdr:pic>
        <xdr:nvPicPr>
          <xdr:cNvPr id="19" name="Graphic 18" descr="Table and chairs with solid fill">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1">
            <a:duotone>
              <a:prstClr val="black"/>
              <a:schemeClr val="tx2">
                <a:tint val="45000"/>
                <a:satMod val="400000"/>
              </a:schemeClr>
            </a:duotone>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2724150" y="5572124"/>
            <a:ext cx="534907" cy="534907"/>
          </a:xfrm>
          <a:prstGeom prst="rect">
            <a:avLst/>
          </a:prstGeom>
        </xdr:spPr>
      </xdr:pic>
    </xdr:grpSp>
    <xdr:clientData/>
  </xdr:twoCellAnchor>
  <xdr:twoCellAnchor editAs="oneCell">
    <xdr:from>
      <xdr:col>3</xdr:col>
      <xdr:colOff>140970</xdr:colOff>
      <xdr:row>8</xdr:row>
      <xdr:rowOff>117270</xdr:rowOff>
    </xdr:from>
    <xdr:to>
      <xdr:col>3</xdr:col>
      <xdr:colOff>571656</xdr:colOff>
      <xdr:row>10</xdr:row>
      <xdr:rowOff>153030</xdr:rowOff>
    </xdr:to>
    <xdr:pic>
      <xdr:nvPicPr>
        <xdr:cNvPr id="20" name="Graphic 19" descr="Shopping bag with solid fill">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13">
          <a:duotone>
            <a:prstClr val="black"/>
            <a:schemeClr val="accent1">
              <a:tint val="45000"/>
              <a:satMod val="400000"/>
            </a:schemeClr>
          </a:duotone>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969770" y="1580310"/>
          <a:ext cx="430686" cy="416760"/>
        </a:xfrm>
        <a:prstGeom prst="rect">
          <a:avLst/>
        </a:prstGeom>
      </xdr:spPr>
    </xdr:pic>
    <xdr:clientData/>
  </xdr:twoCellAnchor>
  <xdr:twoCellAnchor editAs="oneCell">
    <xdr:from>
      <xdr:col>13</xdr:col>
      <xdr:colOff>302400</xdr:colOff>
      <xdr:row>25</xdr:row>
      <xdr:rowOff>52005</xdr:rowOff>
    </xdr:from>
    <xdr:to>
      <xdr:col>14</xdr:col>
      <xdr:colOff>15888</xdr:colOff>
      <xdr:row>27</xdr:row>
      <xdr:rowOff>85533</xdr:rowOff>
    </xdr:to>
    <xdr:pic>
      <xdr:nvPicPr>
        <xdr:cNvPr id="21" name="Graphic 20" descr="Money">
          <a:extLst>
            <a:ext uri="{FF2B5EF4-FFF2-40B4-BE49-F238E27FC236}">
              <a16:creationId xmlns:a16="http://schemas.microsoft.com/office/drawing/2014/main" id="{00000000-0008-0000-0300-000015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8227200" y="4624005"/>
          <a:ext cx="445008" cy="414528"/>
        </a:xfrm>
        <a:prstGeom prst="rect">
          <a:avLst/>
        </a:prstGeom>
      </xdr:spPr>
    </xdr:pic>
    <xdr:clientData/>
  </xdr:twoCellAnchor>
  <xdr:twoCellAnchor editAs="oneCell">
    <xdr:from>
      <xdr:col>23</xdr:col>
      <xdr:colOff>373800</xdr:colOff>
      <xdr:row>2</xdr:row>
      <xdr:rowOff>0</xdr:rowOff>
    </xdr:from>
    <xdr:to>
      <xdr:col>23</xdr:col>
      <xdr:colOff>609600</xdr:colOff>
      <xdr:row>3</xdr:row>
      <xdr:rowOff>37680</xdr:rowOff>
    </xdr:to>
    <xdr:pic>
      <xdr:nvPicPr>
        <xdr:cNvPr id="22" name="Graphic 21" descr="Filter">
          <a:extLst>
            <a:ext uri="{FF2B5EF4-FFF2-40B4-BE49-F238E27FC236}">
              <a16:creationId xmlns:a16="http://schemas.microsoft.com/office/drawing/2014/main" id="{00000000-0008-0000-0300-000016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4394600" y="365760"/>
          <a:ext cx="235800" cy="228180"/>
        </a:xfrm>
        <a:prstGeom prst="rect">
          <a:avLst/>
        </a:prstGeom>
      </xdr:spPr>
    </xdr:pic>
    <xdr:clientData/>
  </xdr:twoCellAnchor>
  <xdr:twoCellAnchor editAs="oneCell">
    <xdr:from>
      <xdr:col>3</xdr:col>
      <xdr:colOff>91440</xdr:colOff>
      <xdr:row>13</xdr:row>
      <xdr:rowOff>15240</xdr:rowOff>
    </xdr:from>
    <xdr:to>
      <xdr:col>3</xdr:col>
      <xdr:colOff>535741</xdr:colOff>
      <xdr:row>15</xdr:row>
      <xdr:rowOff>65463</xdr:rowOff>
    </xdr:to>
    <xdr:pic>
      <xdr:nvPicPr>
        <xdr:cNvPr id="23" name="Graphic 22" descr="House">
          <a:extLst>
            <a:ext uri="{FF2B5EF4-FFF2-40B4-BE49-F238E27FC236}">
              <a16:creationId xmlns:a16="http://schemas.microsoft.com/office/drawing/2014/main" id="{00000000-0008-0000-0300-000017000000}"/>
            </a:ext>
          </a:extLst>
        </xdr:cNvPr>
        <xdr:cNvPicPr>
          <a:picLocks noChangeAspect="1"/>
        </xdr:cNvPicPr>
      </xdr:nvPicPr>
      <xdr:blipFill>
        <a:blip xmlns:r="http://schemas.openxmlformats.org/officeDocument/2006/relationships" r:embed="rId19" cstate="print">
          <a:biLevel thresh="25000"/>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1920240" y="2392680"/>
          <a:ext cx="444301" cy="431223"/>
        </a:xfrm>
        <a:prstGeom prst="rect">
          <a:avLst/>
        </a:prstGeom>
      </xdr:spPr>
    </xdr:pic>
    <xdr:clientData/>
  </xdr:twoCellAnchor>
  <xdr:twoCellAnchor editAs="oneCell">
    <xdr:from>
      <xdr:col>3</xdr:col>
      <xdr:colOff>190500</xdr:colOff>
      <xdr:row>20</xdr:row>
      <xdr:rowOff>99060</xdr:rowOff>
    </xdr:from>
    <xdr:to>
      <xdr:col>3</xdr:col>
      <xdr:colOff>426300</xdr:colOff>
      <xdr:row>21</xdr:row>
      <xdr:rowOff>137606</xdr:rowOff>
    </xdr:to>
    <xdr:pic>
      <xdr:nvPicPr>
        <xdr:cNvPr id="25" name="Graphic 24" descr="Filter">
          <a:extLst>
            <a:ext uri="{FF2B5EF4-FFF2-40B4-BE49-F238E27FC236}">
              <a16:creationId xmlns:a16="http://schemas.microsoft.com/office/drawing/2014/main" id="{00000000-0008-0000-0300-000019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2019300" y="3756660"/>
          <a:ext cx="235800" cy="229046"/>
        </a:xfrm>
        <a:prstGeom prst="rect">
          <a:avLst/>
        </a:prstGeom>
      </xdr:spPr>
    </xdr:pic>
    <xdr:clientData/>
  </xdr:twoCellAnchor>
  <xdr:twoCellAnchor editAs="oneCell">
    <xdr:from>
      <xdr:col>3</xdr:col>
      <xdr:colOff>190500</xdr:colOff>
      <xdr:row>20</xdr:row>
      <xdr:rowOff>99060</xdr:rowOff>
    </xdr:from>
    <xdr:to>
      <xdr:col>3</xdr:col>
      <xdr:colOff>601020</xdr:colOff>
      <xdr:row>22</xdr:row>
      <xdr:rowOff>116033</xdr:rowOff>
    </xdr:to>
    <xdr:pic macro="[0]!remove_slicer_filter">
      <xdr:nvPicPr>
        <xdr:cNvPr id="27" name="Graphic 26" descr="Garbage">
          <a:extLst>
            <a:ext uri="{FF2B5EF4-FFF2-40B4-BE49-F238E27FC236}">
              <a16:creationId xmlns:a16="http://schemas.microsoft.com/office/drawing/2014/main" id="{00000000-0008-0000-0300-00001B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2019300" y="3756660"/>
          <a:ext cx="410520" cy="397973"/>
        </a:xfrm>
        <a:prstGeom prst="rect">
          <a:avLst/>
        </a:prstGeom>
      </xdr:spPr>
    </xdr:pic>
    <xdr:clientData/>
  </xdr:twoCellAnchor>
  <xdr:twoCellAnchor editAs="oneCell">
    <xdr:from>
      <xdr:col>4</xdr:col>
      <xdr:colOff>441960</xdr:colOff>
      <xdr:row>4</xdr:row>
      <xdr:rowOff>83820</xdr:rowOff>
    </xdr:from>
    <xdr:to>
      <xdr:col>5</xdr:col>
      <xdr:colOff>38422</xdr:colOff>
      <xdr:row>6</xdr:row>
      <xdr:rowOff>32534</xdr:rowOff>
    </xdr:to>
    <xdr:pic>
      <xdr:nvPicPr>
        <xdr:cNvPr id="28" name="Graphic 27" descr="Daily calendar outline">
          <a:extLst>
            <a:ext uri="{FF2B5EF4-FFF2-40B4-BE49-F238E27FC236}">
              <a16:creationId xmlns:a16="http://schemas.microsoft.com/office/drawing/2014/main" id="{00000000-0008-0000-0300-00001C000000}"/>
            </a:ext>
          </a:extLst>
        </xdr:cNvPr>
        <xdr:cNvPicPr>
          <a:picLocks noChangeAspect="1"/>
        </xdr:cNvPicPr>
      </xdr:nvPicPr>
      <xdr:blipFill>
        <a:blip xmlns:r="http://schemas.openxmlformats.org/officeDocument/2006/relationships" r:embed="rId23" cstate="print">
          <a:lum bright="70000" contrast="-70000"/>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2880360" y="815340"/>
          <a:ext cx="327982" cy="329714"/>
        </a:xfrm>
        <a:prstGeom prst="rect">
          <a:avLst/>
        </a:prstGeom>
      </xdr:spPr>
    </xdr:pic>
    <xdr:clientData/>
  </xdr:twoCellAnchor>
  <xdr:twoCellAnchor editAs="oneCell">
    <xdr:from>
      <xdr:col>4</xdr:col>
      <xdr:colOff>426720</xdr:colOff>
      <xdr:row>8</xdr:row>
      <xdr:rowOff>76200</xdr:rowOff>
    </xdr:from>
    <xdr:to>
      <xdr:col>5</xdr:col>
      <xdr:colOff>295099</xdr:colOff>
      <xdr:row>10</xdr:row>
      <xdr:rowOff>136123</xdr:rowOff>
    </xdr:to>
    <xdr:pic>
      <xdr:nvPicPr>
        <xdr:cNvPr id="34" name="Picture 33">
          <a:extLst>
            <a:ext uri="{FF2B5EF4-FFF2-40B4-BE49-F238E27FC236}">
              <a16:creationId xmlns:a16="http://schemas.microsoft.com/office/drawing/2014/main" id="{00000000-0008-0000-0300-000022000000}"/>
            </a:ext>
          </a:extLst>
        </xdr:cNvPr>
        <xdr:cNvPicPr>
          <a:picLocks noChangeAspect="1"/>
        </xdr:cNvPicPr>
      </xdr:nvPicPr>
      <xdr:blipFill>
        <a:blip xmlns:r="http://schemas.openxmlformats.org/officeDocument/2006/relationships" r:embed="rId25" cstate="print">
          <a:duotone>
            <a:prstClr val="black"/>
            <a:srgbClr val="D9C3A5">
              <a:tint val="50000"/>
              <a:satMod val="180000"/>
            </a:srgbClr>
          </a:duotone>
          <a:extLst>
            <a:ext uri="{BEBA8EAE-BF5A-486C-A8C5-ECC9F3942E4B}">
              <a14:imgProps xmlns:a14="http://schemas.microsoft.com/office/drawing/2010/main">
                <a14:imgLayer r:embed="rId26">
                  <a14:imgEffect>
                    <a14:colorTemperature colorTemp="4700"/>
                  </a14:imgEffect>
                </a14:imgLayer>
              </a14:imgProps>
            </a:ext>
            <a:ext uri="{28A0092B-C50C-407E-A947-70E740481C1C}">
              <a14:useLocalDpi xmlns:a14="http://schemas.microsoft.com/office/drawing/2010/main" val="0"/>
            </a:ext>
          </a:extLst>
        </a:blip>
        <a:stretch>
          <a:fillRect/>
        </a:stretch>
      </xdr:blipFill>
      <xdr:spPr>
        <a:xfrm>
          <a:off x="2865120" y="1539240"/>
          <a:ext cx="599899" cy="44092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19</xdr:col>
      <xdr:colOff>525779</xdr:colOff>
      <xdr:row>4</xdr:row>
      <xdr:rowOff>180976</xdr:rowOff>
    </xdr:from>
    <xdr:to>
      <xdr:col>20</xdr:col>
      <xdr:colOff>381000</xdr:colOff>
      <xdr:row>40</xdr:row>
      <xdr:rowOff>180110</xdr:rowOff>
    </xdr:to>
    <xdr:sp macro="" textlink="">
      <xdr:nvSpPr>
        <xdr:cNvPr id="24" name="Rectangle 23">
          <a:extLst>
            <a:ext uri="{FF2B5EF4-FFF2-40B4-BE49-F238E27FC236}">
              <a16:creationId xmlns:a16="http://schemas.microsoft.com/office/drawing/2014/main" id="{00000000-0008-0000-0100-000018000000}"/>
            </a:ext>
          </a:extLst>
        </xdr:cNvPr>
        <xdr:cNvSpPr/>
      </xdr:nvSpPr>
      <xdr:spPr>
        <a:xfrm>
          <a:off x="11803379" y="657226"/>
          <a:ext cx="464821" cy="6857134"/>
        </a:xfrm>
        <a:prstGeom prst="rect">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360219</xdr:colOff>
      <xdr:row>1</xdr:row>
      <xdr:rowOff>173182</xdr:rowOff>
    </xdr:from>
    <xdr:to>
      <xdr:col>20</xdr:col>
      <xdr:colOff>214743</xdr:colOff>
      <xdr:row>35</xdr:row>
      <xdr:rowOff>145473</xdr:rowOff>
    </xdr:to>
    <xdr:grpSp>
      <xdr:nvGrpSpPr>
        <xdr:cNvPr id="103" name="Group 102">
          <a:hlinkClick xmlns:r="http://schemas.openxmlformats.org/officeDocument/2006/relationships" r:id="rId1"/>
          <a:extLst>
            <a:ext uri="{FF2B5EF4-FFF2-40B4-BE49-F238E27FC236}">
              <a16:creationId xmlns:a16="http://schemas.microsoft.com/office/drawing/2014/main" id="{00000000-0008-0000-0100-000067000000}"/>
            </a:ext>
          </a:extLst>
        </xdr:cNvPr>
        <xdr:cNvGrpSpPr/>
      </xdr:nvGrpSpPr>
      <xdr:grpSpPr>
        <a:xfrm>
          <a:off x="55419" y="93914"/>
          <a:ext cx="12103921" cy="6355377"/>
          <a:chOff x="360219" y="353291"/>
          <a:chExt cx="11831779" cy="6096000"/>
        </a:xfrm>
      </xdr:grpSpPr>
      <xdr:sp macro="" textlink="">
        <xdr:nvSpPr>
          <xdr:cNvPr id="4" name="Rectangle: Rounded Corners 3">
            <a:extLst>
              <a:ext uri="{FF2B5EF4-FFF2-40B4-BE49-F238E27FC236}">
                <a16:creationId xmlns:a16="http://schemas.microsoft.com/office/drawing/2014/main" id="{00000000-0008-0000-0100-000004000000}"/>
              </a:ext>
            </a:extLst>
          </xdr:cNvPr>
          <xdr:cNvSpPr/>
        </xdr:nvSpPr>
        <xdr:spPr>
          <a:xfrm>
            <a:off x="529241" y="365761"/>
            <a:ext cx="11662757" cy="457200"/>
          </a:xfrm>
          <a:prstGeom prst="roundRect">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grpSp>
        <xdr:nvGrpSpPr>
          <xdr:cNvPr id="5" name="Group 4">
            <a:extLst>
              <a:ext uri="{FF2B5EF4-FFF2-40B4-BE49-F238E27FC236}">
                <a16:creationId xmlns:a16="http://schemas.microsoft.com/office/drawing/2014/main" id="{00000000-0008-0000-0100-000005000000}"/>
              </a:ext>
            </a:extLst>
          </xdr:cNvPr>
          <xdr:cNvGrpSpPr/>
        </xdr:nvGrpSpPr>
        <xdr:grpSpPr>
          <a:xfrm>
            <a:off x="360219" y="353291"/>
            <a:ext cx="346364" cy="6096000"/>
            <a:chOff x="361603" y="107820"/>
            <a:chExt cx="395825" cy="6551329"/>
          </a:xfrm>
        </xdr:grpSpPr>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464820" y="129927"/>
              <a:ext cx="292608" cy="6506387"/>
            </a:xfrm>
            <a:prstGeom prst="roundRect">
              <a:avLst>
                <a:gd name="adj" fmla="val 11111"/>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2" name="Rectangle: Rounded Corners 1">
              <a:extLst>
                <a:ext uri="{FF2B5EF4-FFF2-40B4-BE49-F238E27FC236}">
                  <a16:creationId xmlns:a16="http://schemas.microsoft.com/office/drawing/2014/main" id="{00000000-0008-0000-0100-000002000000}"/>
                </a:ext>
              </a:extLst>
            </xdr:cNvPr>
            <xdr:cNvSpPr/>
          </xdr:nvSpPr>
          <xdr:spPr>
            <a:xfrm>
              <a:off x="361603" y="107820"/>
              <a:ext cx="283464" cy="6551329"/>
            </a:xfrm>
            <a:prstGeom prst="roundRect">
              <a:avLst>
                <a:gd name="adj" fmla="val 0"/>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grpSp>
    <xdr:clientData/>
  </xdr:twoCellAnchor>
  <xdr:twoCellAnchor>
    <xdr:from>
      <xdr:col>1</xdr:col>
      <xdr:colOff>461356</xdr:colOff>
      <xdr:row>1</xdr:row>
      <xdr:rowOff>145473</xdr:rowOff>
    </xdr:from>
    <xdr:to>
      <xdr:col>4</xdr:col>
      <xdr:colOff>13855</xdr:colOff>
      <xdr:row>5</xdr:row>
      <xdr:rowOff>117765</xdr:rowOff>
    </xdr:to>
    <xdr:sp macro="" textlink="">
      <xdr:nvSpPr>
        <xdr:cNvPr id="6" name="Rectangle 5">
          <a:extLst>
            <a:ext uri="{FF2B5EF4-FFF2-40B4-BE49-F238E27FC236}">
              <a16:creationId xmlns:a16="http://schemas.microsoft.com/office/drawing/2014/main" id="{00000000-0008-0000-0100-000006000000}"/>
            </a:ext>
          </a:extLst>
        </xdr:cNvPr>
        <xdr:cNvSpPr/>
      </xdr:nvSpPr>
      <xdr:spPr>
        <a:xfrm>
          <a:off x="856211" y="325582"/>
          <a:ext cx="1381299" cy="69272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US" sz="1200" b="1"/>
        </a:p>
        <a:p>
          <a:pPr marL="0" marR="0" lvl="0" indent="0" algn="ctr" defTabSz="914400" eaLnBrk="1" fontAlgn="auto" latinLnBrk="0" hangingPunct="1">
            <a:lnSpc>
              <a:spcPct val="100000"/>
            </a:lnSpc>
            <a:spcBef>
              <a:spcPts val="0"/>
            </a:spcBef>
            <a:spcAft>
              <a:spcPts val="0"/>
            </a:spcAft>
            <a:buClrTx/>
            <a:buSzTx/>
            <a:buFontTx/>
            <a:buNone/>
            <a:tabLst/>
            <a:defRPr/>
          </a:pPr>
          <a:r>
            <a:rPr lang="en-US" sz="1200" b="1"/>
            <a:t> </a:t>
          </a:r>
          <a:r>
            <a:rPr lang="en-US" sz="1200" b="1">
              <a:solidFill>
                <a:schemeClr val="lt1"/>
              </a:solidFill>
              <a:effectLst/>
              <a:latin typeface="+mn-lt"/>
              <a:ea typeface="+mn-ea"/>
              <a:cs typeface="+mn-cs"/>
            </a:rPr>
            <a:t>Dashboard</a:t>
          </a:r>
          <a:endParaRPr lang="en-US" sz="1200" b="1">
            <a:effectLst/>
          </a:endParaRPr>
        </a:p>
        <a:p>
          <a:pPr algn="ctr"/>
          <a:endParaRPr lang="en-US" sz="1200" b="1"/>
        </a:p>
      </xdr:txBody>
    </xdr:sp>
    <xdr:clientData/>
  </xdr:twoCellAnchor>
  <xdr:twoCellAnchor>
    <xdr:from>
      <xdr:col>0</xdr:col>
      <xdr:colOff>368531</xdr:colOff>
      <xdr:row>2</xdr:row>
      <xdr:rowOff>178723</xdr:rowOff>
    </xdr:from>
    <xdr:to>
      <xdr:col>2</xdr:col>
      <xdr:colOff>545176</xdr:colOff>
      <xdr:row>4</xdr:row>
      <xdr:rowOff>94903</xdr:rowOff>
    </xdr:to>
    <xdr:sp macro="" textlink="">
      <xdr:nvSpPr>
        <xdr:cNvPr id="7" name="Rectangle 6">
          <a:extLst>
            <a:ext uri="{FF2B5EF4-FFF2-40B4-BE49-F238E27FC236}">
              <a16:creationId xmlns:a16="http://schemas.microsoft.com/office/drawing/2014/main" id="{00000000-0008-0000-0100-000007000000}"/>
            </a:ext>
          </a:extLst>
        </xdr:cNvPr>
        <xdr:cNvSpPr/>
      </xdr:nvSpPr>
      <xdr:spPr>
        <a:xfrm>
          <a:off x="368531" y="538941"/>
          <a:ext cx="1181100" cy="27639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600" b="1"/>
        </a:p>
      </xdr:txBody>
    </xdr:sp>
    <xdr:clientData/>
  </xdr:twoCellAnchor>
  <xdr:twoCellAnchor>
    <xdr:from>
      <xdr:col>13</xdr:col>
      <xdr:colOff>36022</xdr:colOff>
      <xdr:row>2</xdr:row>
      <xdr:rowOff>85899</xdr:rowOff>
    </xdr:from>
    <xdr:to>
      <xdr:col>14</xdr:col>
      <xdr:colOff>424642</xdr:colOff>
      <xdr:row>4</xdr:row>
      <xdr:rowOff>4850</xdr:rowOff>
    </xdr:to>
    <xdr:sp macro="" textlink="">
      <xdr:nvSpPr>
        <xdr:cNvPr id="11" name="Rectangle: Rounded Corners 10">
          <a:extLst>
            <a:ext uri="{FF2B5EF4-FFF2-40B4-BE49-F238E27FC236}">
              <a16:creationId xmlns:a16="http://schemas.microsoft.com/office/drawing/2014/main" id="{00000000-0008-0000-0100-00000B000000}"/>
            </a:ext>
          </a:extLst>
        </xdr:cNvPr>
        <xdr:cNvSpPr/>
      </xdr:nvSpPr>
      <xdr:spPr>
        <a:xfrm>
          <a:off x="7746077" y="446117"/>
          <a:ext cx="998220" cy="279169"/>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Start Date</a:t>
          </a:r>
        </a:p>
      </xdr:txBody>
    </xdr:sp>
    <xdr:clientData/>
  </xdr:twoCellAnchor>
  <xdr:twoCellAnchor>
    <xdr:from>
      <xdr:col>16</xdr:col>
      <xdr:colOff>459971</xdr:colOff>
      <xdr:row>2</xdr:row>
      <xdr:rowOff>83127</xdr:rowOff>
    </xdr:from>
    <xdr:to>
      <xdr:col>18</xdr:col>
      <xdr:colOff>231371</xdr:colOff>
      <xdr:row>3</xdr:row>
      <xdr:rowOff>166947</xdr:rowOff>
    </xdr:to>
    <xdr:sp macro="" textlink="">
      <xdr:nvSpPr>
        <xdr:cNvPr id="12" name="Rectangle: Rounded Corners 11">
          <a:extLst>
            <a:ext uri="{FF2B5EF4-FFF2-40B4-BE49-F238E27FC236}">
              <a16:creationId xmlns:a16="http://schemas.microsoft.com/office/drawing/2014/main" id="{00000000-0008-0000-0100-00000C000000}"/>
            </a:ext>
          </a:extLst>
        </xdr:cNvPr>
        <xdr:cNvSpPr/>
      </xdr:nvSpPr>
      <xdr:spPr>
        <a:xfrm>
          <a:off x="9998826" y="443345"/>
          <a:ext cx="990600" cy="263929"/>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End Date</a:t>
          </a:r>
        </a:p>
      </xdr:txBody>
    </xdr:sp>
    <xdr:clientData/>
  </xdr:twoCellAnchor>
  <xdr:twoCellAnchor>
    <xdr:from>
      <xdr:col>4</xdr:col>
      <xdr:colOff>282631</xdr:colOff>
      <xdr:row>1</xdr:row>
      <xdr:rowOff>57496</xdr:rowOff>
    </xdr:from>
    <xdr:to>
      <xdr:col>12</xdr:col>
      <xdr:colOff>96980</xdr:colOff>
      <xdr:row>4</xdr:row>
      <xdr:rowOff>145473</xdr:rowOff>
    </xdr:to>
    <xdr:sp macro="" textlink="">
      <xdr:nvSpPr>
        <xdr:cNvPr id="20" name="Rectangle 19">
          <a:extLst>
            <a:ext uri="{FF2B5EF4-FFF2-40B4-BE49-F238E27FC236}">
              <a16:creationId xmlns:a16="http://schemas.microsoft.com/office/drawing/2014/main" id="{00000000-0008-0000-0100-000014000000}"/>
            </a:ext>
          </a:extLst>
        </xdr:cNvPr>
        <xdr:cNvSpPr/>
      </xdr:nvSpPr>
      <xdr:spPr>
        <a:xfrm>
          <a:off x="2506286" y="237605"/>
          <a:ext cx="4691149" cy="62830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FINANCE</a:t>
          </a:r>
          <a:r>
            <a:rPr lang="en-US" sz="2000" b="1" baseline="0"/>
            <a:t> MANAGER</a:t>
          </a:r>
          <a:endParaRPr lang="en-US" sz="2000" b="1"/>
        </a:p>
      </xdr:txBody>
    </xdr:sp>
    <xdr:clientData/>
  </xdr:twoCellAnchor>
  <xdr:twoCellAnchor>
    <xdr:from>
      <xdr:col>12</xdr:col>
      <xdr:colOff>138545</xdr:colOff>
      <xdr:row>2</xdr:row>
      <xdr:rowOff>124691</xdr:rowOff>
    </xdr:from>
    <xdr:to>
      <xdr:col>12</xdr:col>
      <xdr:colOff>509847</xdr:colOff>
      <xdr:row>4</xdr:row>
      <xdr:rowOff>0</xdr:rowOff>
    </xdr:to>
    <xdr:grpSp>
      <xdr:nvGrpSpPr>
        <xdr:cNvPr id="13" name="Group 12">
          <a:extLst>
            <a:ext uri="{FF2B5EF4-FFF2-40B4-BE49-F238E27FC236}">
              <a16:creationId xmlns:a16="http://schemas.microsoft.com/office/drawing/2014/main" id="{00000000-0008-0000-0100-00000D000000}"/>
            </a:ext>
          </a:extLst>
        </xdr:cNvPr>
        <xdr:cNvGrpSpPr/>
      </xdr:nvGrpSpPr>
      <xdr:grpSpPr>
        <a:xfrm>
          <a:off x="7174675" y="223652"/>
          <a:ext cx="371302" cy="251361"/>
          <a:chOff x="10906125" y="238125"/>
          <a:chExt cx="228600" cy="171450"/>
        </a:xfrm>
      </xdr:grpSpPr>
      <xdr:cxnSp macro="">
        <xdr:nvCxnSpPr>
          <xdr:cNvPr id="14" name="Straight Connector 13">
            <a:extLst>
              <a:ext uri="{FF2B5EF4-FFF2-40B4-BE49-F238E27FC236}">
                <a16:creationId xmlns:a16="http://schemas.microsoft.com/office/drawing/2014/main" id="{00000000-0008-0000-0100-00000E000000}"/>
              </a:ext>
            </a:extLst>
          </xdr:cNvPr>
          <xdr:cNvCxnSpPr/>
        </xdr:nvCxnSpPr>
        <xdr:spPr>
          <a:xfrm>
            <a:off x="10906125" y="238125"/>
            <a:ext cx="0" cy="17145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Connector 14">
            <a:extLst>
              <a:ext uri="{FF2B5EF4-FFF2-40B4-BE49-F238E27FC236}">
                <a16:creationId xmlns:a16="http://schemas.microsoft.com/office/drawing/2014/main" id="{00000000-0008-0000-0100-00000F000000}"/>
              </a:ext>
            </a:extLst>
          </xdr:cNvPr>
          <xdr:cNvCxnSpPr/>
        </xdr:nvCxnSpPr>
        <xdr:spPr>
          <a:xfrm>
            <a:off x="11134725" y="238125"/>
            <a:ext cx="0" cy="17145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422437</xdr:colOff>
      <xdr:row>25</xdr:row>
      <xdr:rowOff>110837</xdr:rowOff>
    </xdr:from>
    <xdr:to>
      <xdr:col>13</xdr:col>
      <xdr:colOff>568741</xdr:colOff>
      <xdr:row>40</xdr:row>
      <xdr:rowOff>133350</xdr:rowOff>
    </xdr:to>
    <xdr:sp macro="" textlink="">
      <xdr:nvSpPr>
        <xdr:cNvPr id="23" name="Rectangle: Rounded Corners 22">
          <a:extLst>
            <a:ext uri="{FF2B5EF4-FFF2-40B4-BE49-F238E27FC236}">
              <a16:creationId xmlns:a16="http://schemas.microsoft.com/office/drawing/2014/main" id="{00000000-0008-0000-0100-000017000000}"/>
            </a:ext>
          </a:extLst>
        </xdr:cNvPr>
        <xdr:cNvSpPr/>
      </xdr:nvSpPr>
      <xdr:spPr>
        <a:xfrm>
          <a:off x="479587" y="4587587"/>
          <a:ext cx="7709154" cy="2880013"/>
        </a:xfrm>
        <a:prstGeom prst="roundRect">
          <a:avLst>
            <a:gd name="adj" fmla="val 4868"/>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44335</xdr:colOff>
      <xdr:row>25</xdr:row>
      <xdr:rowOff>76200</xdr:rowOff>
    </xdr:from>
    <xdr:to>
      <xdr:col>16</xdr:col>
      <xdr:colOff>332509</xdr:colOff>
      <xdr:row>40</xdr:row>
      <xdr:rowOff>142875</xdr:rowOff>
    </xdr:to>
    <xdr:sp macro="" textlink="">
      <xdr:nvSpPr>
        <xdr:cNvPr id="25" name="Rectangle: Rounded Corners 24">
          <a:extLst>
            <a:ext uri="{FF2B5EF4-FFF2-40B4-BE49-F238E27FC236}">
              <a16:creationId xmlns:a16="http://schemas.microsoft.com/office/drawing/2014/main" id="{00000000-0008-0000-0100-000019000000}"/>
            </a:ext>
          </a:extLst>
        </xdr:cNvPr>
        <xdr:cNvSpPr/>
      </xdr:nvSpPr>
      <xdr:spPr>
        <a:xfrm>
          <a:off x="8273935" y="4552950"/>
          <a:ext cx="1507374" cy="2924175"/>
        </a:xfrm>
        <a:prstGeom prst="roundRect">
          <a:avLst>
            <a:gd name="adj" fmla="val 4868"/>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602672</xdr:colOff>
      <xdr:row>27</xdr:row>
      <xdr:rowOff>83128</xdr:rowOff>
    </xdr:from>
    <xdr:to>
      <xdr:col>16</xdr:col>
      <xdr:colOff>311727</xdr:colOff>
      <xdr:row>40</xdr:row>
      <xdr:rowOff>171449</xdr:rowOff>
    </xdr:to>
    <xdr:graphicFrame macro="">
      <xdr:nvGraphicFramePr>
        <xdr:cNvPr id="26" name="Chart 25">
          <a:extLst>
            <a:ext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409574</xdr:colOff>
      <xdr:row>11</xdr:row>
      <xdr:rowOff>180976</xdr:rowOff>
    </xdr:from>
    <xdr:to>
      <xdr:col>16</xdr:col>
      <xdr:colOff>457199</xdr:colOff>
      <xdr:row>25</xdr:row>
      <xdr:rowOff>16350</xdr:rowOff>
    </xdr:to>
    <xdr:sp macro="" textlink="">
      <xdr:nvSpPr>
        <xdr:cNvPr id="38" name="Rectangle: Rounded Corners 37">
          <a:extLst>
            <a:ext uri="{FF2B5EF4-FFF2-40B4-BE49-F238E27FC236}">
              <a16:creationId xmlns:a16="http://schemas.microsoft.com/office/drawing/2014/main" id="{00000000-0008-0000-0100-000026000000}"/>
            </a:ext>
          </a:extLst>
        </xdr:cNvPr>
        <xdr:cNvSpPr/>
      </xdr:nvSpPr>
      <xdr:spPr>
        <a:xfrm>
          <a:off x="6810374" y="1990726"/>
          <a:ext cx="3095625" cy="2502374"/>
        </a:xfrm>
        <a:prstGeom prst="roundRect">
          <a:avLst>
            <a:gd name="adj" fmla="val 8334"/>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487678</xdr:colOff>
      <xdr:row>11</xdr:row>
      <xdr:rowOff>133351</xdr:rowOff>
    </xdr:from>
    <xdr:to>
      <xdr:col>17</xdr:col>
      <xdr:colOff>57150</xdr:colOff>
      <xdr:row>24</xdr:row>
      <xdr:rowOff>96983</xdr:rowOff>
    </xdr:to>
    <xdr:graphicFrame macro="">
      <xdr:nvGraphicFramePr>
        <xdr:cNvPr id="47" name="Chart 46">
          <a:extLst>
            <a:ext uri="{FF2B5EF4-FFF2-40B4-BE49-F238E27FC236}">
              <a16:creationId xmlns:a16="http://schemas.microsoft.com/office/drawing/2014/main" id="{00000000-0008-0000-01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43</xdr:row>
      <xdr:rowOff>64421</xdr:rowOff>
    </xdr:from>
    <xdr:to>
      <xdr:col>0</xdr:col>
      <xdr:colOff>0</xdr:colOff>
      <xdr:row>49</xdr:row>
      <xdr:rowOff>26183</xdr:rowOff>
    </xdr:to>
    <xdr:sp macro="" textlink="">
      <xdr:nvSpPr>
        <xdr:cNvPr id="49" name="Rectangle: Rounded Corners 48">
          <a:extLst>
            <a:ext uri="{FF2B5EF4-FFF2-40B4-BE49-F238E27FC236}">
              <a16:creationId xmlns:a16="http://schemas.microsoft.com/office/drawing/2014/main" id="{00000000-0008-0000-0100-000031000000}"/>
            </a:ext>
          </a:extLst>
        </xdr:cNvPr>
        <xdr:cNvSpPr/>
      </xdr:nvSpPr>
      <xdr:spPr>
        <a:xfrm>
          <a:off x="0" y="7809112"/>
          <a:ext cx="0" cy="1042416"/>
        </a:xfrm>
        <a:prstGeom prst="roundRect">
          <a:avLst>
            <a:gd name="adj" fmla="val 1291"/>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242453</xdr:colOff>
      <xdr:row>5</xdr:row>
      <xdr:rowOff>173183</xdr:rowOff>
    </xdr:from>
    <xdr:to>
      <xdr:col>2</xdr:col>
      <xdr:colOff>522253</xdr:colOff>
      <xdr:row>8</xdr:row>
      <xdr:rowOff>20491</xdr:rowOff>
    </xdr:to>
    <xdr:pic>
      <xdr:nvPicPr>
        <xdr:cNvPr id="55" name="Graphic 54" descr="Suburban scene">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905393" y="820883"/>
          <a:ext cx="279800" cy="395948"/>
        </a:xfrm>
        <a:prstGeom prst="rect">
          <a:avLst/>
        </a:prstGeom>
      </xdr:spPr>
    </xdr:pic>
    <xdr:clientData/>
  </xdr:twoCellAnchor>
  <xdr:twoCellAnchor>
    <xdr:from>
      <xdr:col>1</xdr:col>
      <xdr:colOff>540327</xdr:colOff>
      <xdr:row>8</xdr:row>
      <xdr:rowOff>152399</xdr:rowOff>
    </xdr:from>
    <xdr:to>
      <xdr:col>3</xdr:col>
      <xdr:colOff>166255</xdr:colOff>
      <xdr:row>10</xdr:row>
      <xdr:rowOff>0</xdr:rowOff>
    </xdr:to>
    <xdr:sp macro="" textlink="">
      <xdr:nvSpPr>
        <xdr:cNvPr id="63" name="TextBox 62">
          <a:extLst>
            <a:ext uri="{FF2B5EF4-FFF2-40B4-BE49-F238E27FC236}">
              <a16:creationId xmlns:a16="http://schemas.microsoft.com/office/drawing/2014/main" id="{00000000-0008-0000-0100-00003F000000}"/>
            </a:ext>
          </a:extLst>
        </xdr:cNvPr>
        <xdr:cNvSpPr txBox="1"/>
      </xdr:nvSpPr>
      <xdr:spPr>
        <a:xfrm>
          <a:off x="593667" y="1348739"/>
          <a:ext cx="845128" cy="213361"/>
        </a:xfrm>
        <a:prstGeom prst="rect">
          <a:avLst/>
        </a:prstGeom>
        <a:gradFill>
          <a:gsLst>
            <a:gs pos="55500">
              <a:schemeClr val="accent1">
                <a:lumMod val="60000"/>
                <a:lumOff val="40000"/>
              </a:schemeClr>
            </a:gs>
            <a:gs pos="37000">
              <a:srgbClr val="D2C6C9"/>
            </a:gs>
            <a:gs pos="0">
              <a:schemeClr val="accent2">
                <a:lumMod val="40000"/>
                <a:lumOff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solidFill>
                <a:sysClr val="windowText" lastClr="000000"/>
              </a:solidFill>
              <a:latin typeface="Arial Black" panose="020B0A04020102020204" pitchFamily="34" charset="0"/>
            </a:rPr>
            <a:t>Living Expenses</a:t>
          </a:r>
        </a:p>
      </xdr:txBody>
    </xdr:sp>
    <xdr:clientData/>
  </xdr:twoCellAnchor>
  <xdr:twoCellAnchor>
    <xdr:from>
      <xdr:col>1</xdr:col>
      <xdr:colOff>540328</xdr:colOff>
      <xdr:row>10</xdr:row>
      <xdr:rowOff>76198</xdr:rowOff>
    </xdr:from>
    <xdr:to>
      <xdr:col>3</xdr:col>
      <xdr:colOff>166256</xdr:colOff>
      <xdr:row>11</xdr:row>
      <xdr:rowOff>103908</xdr:rowOff>
    </xdr:to>
    <xdr:sp macro="" textlink="Analysis!I69">
      <xdr:nvSpPr>
        <xdr:cNvPr id="69" name="TextBox 68">
          <a:extLst>
            <a:ext uri="{FF2B5EF4-FFF2-40B4-BE49-F238E27FC236}">
              <a16:creationId xmlns:a16="http://schemas.microsoft.com/office/drawing/2014/main" id="{00000000-0008-0000-0100-000045000000}"/>
            </a:ext>
          </a:extLst>
        </xdr:cNvPr>
        <xdr:cNvSpPr txBox="1"/>
      </xdr:nvSpPr>
      <xdr:spPr>
        <a:xfrm>
          <a:off x="593668" y="1638298"/>
          <a:ext cx="845128" cy="210590"/>
        </a:xfrm>
        <a:prstGeom prst="rect">
          <a:avLst/>
        </a:prstGeom>
        <a:solidFill>
          <a:schemeClr val="tx1">
            <a:lumMod val="85000"/>
            <a:lumOff val="1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69B8472-95CA-4B53-A6D9-A8E69C7AFD2A}" type="TxLink">
            <a:rPr lang="en-US" sz="1100" b="0" i="0" u="none" strike="noStrike">
              <a:solidFill>
                <a:schemeClr val="bg1"/>
              </a:solidFill>
              <a:latin typeface="Agency FB" panose="020B0503020202020204" pitchFamily="34" charset="0"/>
              <a:ea typeface="Calibri"/>
              <a:cs typeface="Calibri"/>
            </a:rPr>
            <a:pPr algn="ctr"/>
            <a:t>$16,400</a:t>
          </a:fld>
          <a:endParaRPr lang="en-US" sz="800">
            <a:solidFill>
              <a:schemeClr val="bg1"/>
            </a:solidFill>
            <a:latin typeface="Agency FB" panose="020B0503020202020204" pitchFamily="34" charset="0"/>
          </a:endParaRPr>
        </a:p>
      </xdr:txBody>
    </xdr:sp>
    <xdr:clientData/>
  </xdr:twoCellAnchor>
  <xdr:twoCellAnchor>
    <xdr:from>
      <xdr:col>4</xdr:col>
      <xdr:colOff>566653</xdr:colOff>
      <xdr:row>5</xdr:row>
      <xdr:rowOff>173181</xdr:rowOff>
    </xdr:from>
    <xdr:to>
      <xdr:col>5</xdr:col>
      <xdr:colOff>304800</xdr:colOff>
      <xdr:row>8</xdr:row>
      <xdr:rowOff>87054</xdr:rowOff>
    </xdr:to>
    <xdr:grpSp>
      <xdr:nvGrpSpPr>
        <xdr:cNvPr id="60" name="Group 59">
          <a:extLst>
            <a:ext uri="{FF2B5EF4-FFF2-40B4-BE49-F238E27FC236}">
              <a16:creationId xmlns:a16="http://schemas.microsoft.com/office/drawing/2014/main" id="{00000000-0008-0000-0100-00003C000000}"/>
            </a:ext>
          </a:extLst>
        </xdr:cNvPr>
        <xdr:cNvGrpSpPr/>
      </xdr:nvGrpSpPr>
      <xdr:grpSpPr>
        <a:xfrm>
          <a:off x="2456809" y="836220"/>
          <a:ext cx="351705" cy="477951"/>
          <a:chOff x="2724150" y="5556542"/>
          <a:chExt cx="534907" cy="550489"/>
        </a:xfrm>
        <a:solidFill>
          <a:schemeClr val="tx1">
            <a:lumMod val="85000"/>
            <a:lumOff val="15000"/>
          </a:schemeClr>
        </a:solidFill>
      </xdr:grpSpPr>
      <xdr:pic>
        <xdr:nvPicPr>
          <xdr:cNvPr id="61" name="Graphic 60" descr="Fruit bowl">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2877303" y="5556542"/>
            <a:ext cx="228600" cy="228600"/>
          </a:xfrm>
          <a:prstGeom prst="rect">
            <a:avLst/>
          </a:prstGeom>
        </xdr:spPr>
      </xdr:pic>
      <xdr:pic>
        <xdr:nvPicPr>
          <xdr:cNvPr id="62" name="Graphic 61" descr="Table and chairs with solid fill">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8">
            <a:lum bright="70000" contrast="-70000"/>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724150" y="5572124"/>
            <a:ext cx="534907" cy="534907"/>
          </a:xfrm>
          <a:prstGeom prst="rect">
            <a:avLst/>
          </a:prstGeom>
        </xdr:spPr>
      </xdr:pic>
    </xdr:grpSp>
    <xdr:clientData/>
  </xdr:twoCellAnchor>
  <xdr:twoCellAnchor>
    <xdr:from>
      <xdr:col>4</xdr:col>
      <xdr:colOff>268778</xdr:colOff>
      <xdr:row>8</xdr:row>
      <xdr:rowOff>152399</xdr:rowOff>
    </xdr:from>
    <xdr:to>
      <xdr:col>6</xdr:col>
      <xdr:colOff>53340</xdr:colOff>
      <xdr:row>10</xdr:row>
      <xdr:rowOff>38100</xdr:rowOff>
    </xdr:to>
    <xdr:sp macro="" textlink="">
      <xdr:nvSpPr>
        <xdr:cNvPr id="64" name="TextBox 63">
          <a:extLst>
            <a:ext uri="{FF2B5EF4-FFF2-40B4-BE49-F238E27FC236}">
              <a16:creationId xmlns:a16="http://schemas.microsoft.com/office/drawing/2014/main" id="{00000000-0008-0000-0100-000040000000}"/>
            </a:ext>
          </a:extLst>
        </xdr:cNvPr>
        <xdr:cNvSpPr txBox="1"/>
      </xdr:nvSpPr>
      <xdr:spPr>
        <a:xfrm>
          <a:off x="2150918" y="1348739"/>
          <a:ext cx="1003762" cy="251461"/>
        </a:xfrm>
        <a:prstGeom prst="rect">
          <a:avLst/>
        </a:prstGeom>
        <a:gradFill>
          <a:gsLst>
            <a:gs pos="55500">
              <a:schemeClr val="accent1">
                <a:lumMod val="60000"/>
                <a:lumOff val="40000"/>
              </a:schemeClr>
            </a:gs>
            <a:gs pos="37000">
              <a:srgbClr val="D2C6C9"/>
            </a:gs>
            <a:gs pos="0">
              <a:schemeClr val="accent2">
                <a:lumMod val="40000"/>
                <a:lumOff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solidFill>
                <a:sysClr val="windowText" lastClr="000000"/>
              </a:solidFill>
              <a:latin typeface="Arial Black" panose="020B0A04020102020204" pitchFamily="34" charset="0"/>
            </a:rPr>
            <a:t>Dinning</a:t>
          </a:r>
          <a:r>
            <a:rPr lang="en-US" sz="1000" baseline="0">
              <a:solidFill>
                <a:sysClr val="windowText" lastClr="000000"/>
              </a:solidFill>
              <a:latin typeface="Arial Black" panose="020B0A04020102020204" pitchFamily="34" charset="0"/>
            </a:rPr>
            <a:t> Out</a:t>
          </a:r>
          <a:endParaRPr lang="en-US" sz="1000">
            <a:solidFill>
              <a:sysClr val="windowText" lastClr="000000"/>
            </a:solidFill>
            <a:latin typeface="Arial Black" panose="020B0A04020102020204" pitchFamily="34" charset="0"/>
          </a:endParaRPr>
        </a:p>
      </xdr:txBody>
    </xdr:sp>
    <xdr:clientData/>
  </xdr:twoCellAnchor>
  <xdr:twoCellAnchor>
    <xdr:from>
      <xdr:col>4</xdr:col>
      <xdr:colOff>336665</xdr:colOff>
      <xdr:row>10</xdr:row>
      <xdr:rowOff>83818</xdr:rowOff>
    </xdr:from>
    <xdr:to>
      <xdr:col>5</xdr:col>
      <xdr:colOff>572193</xdr:colOff>
      <xdr:row>11</xdr:row>
      <xdr:rowOff>111528</xdr:rowOff>
    </xdr:to>
    <xdr:sp macro="" textlink="Analysis!I72">
      <xdr:nvSpPr>
        <xdr:cNvPr id="70" name="TextBox 69">
          <a:extLst>
            <a:ext uri="{FF2B5EF4-FFF2-40B4-BE49-F238E27FC236}">
              <a16:creationId xmlns:a16="http://schemas.microsoft.com/office/drawing/2014/main" id="{00000000-0008-0000-0100-000046000000}"/>
            </a:ext>
          </a:extLst>
        </xdr:cNvPr>
        <xdr:cNvSpPr txBox="1"/>
      </xdr:nvSpPr>
      <xdr:spPr>
        <a:xfrm>
          <a:off x="2218805" y="1645918"/>
          <a:ext cx="845128" cy="210590"/>
        </a:xfrm>
        <a:prstGeom prst="rect">
          <a:avLst/>
        </a:prstGeom>
        <a:solidFill>
          <a:schemeClr val="tx1">
            <a:lumMod val="85000"/>
            <a:lumOff val="1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04C1892-C05D-4B5B-92CD-D60114BA2F68}" type="TxLink">
            <a:rPr lang="en-US" sz="1100" b="0" i="0" u="none" strike="noStrike">
              <a:solidFill>
                <a:schemeClr val="bg1"/>
              </a:solidFill>
              <a:latin typeface="Agency FB" panose="020B0503020202020204" pitchFamily="34" charset="0"/>
              <a:ea typeface="Calibri"/>
              <a:cs typeface="Calibri"/>
            </a:rPr>
            <a:pPr algn="ctr"/>
            <a:t>$2,474</a:t>
          </a:fld>
          <a:endParaRPr lang="en-US" sz="800">
            <a:solidFill>
              <a:schemeClr val="bg1"/>
            </a:solidFill>
            <a:latin typeface="Agency FB" panose="020B0503020202020204" pitchFamily="34" charset="0"/>
          </a:endParaRPr>
        </a:p>
      </xdr:txBody>
    </xdr:sp>
    <xdr:clientData/>
  </xdr:twoCellAnchor>
  <xdr:twoCellAnchor>
    <xdr:from>
      <xdr:col>7</xdr:col>
      <xdr:colOff>160710</xdr:colOff>
      <xdr:row>5</xdr:row>
      <xdr:rowOff>167789</xdr:rowOff>
    </xdr:from>
    <xdr:to>
      <xdr:col>7</xdr:col>
      <xdr:colOff>584661</xdr:colOff>
      <xdr:row>8</xdr:row>
      <xdr:rowOff>37280</xdr:rowOff>
    </xdr:to>
    <xdr:pic>
      <xdr:nvPicPr>
        <xdr:cNvPr id="56" name="Graphic 55" descr="First aid kit">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10">
          <a:lum bright="70000" contrast="-7000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3871650" y="815489"/>
          <a:ext cx="423951" cy="418131"/>
        </a:xfrm>
        <a:prstGeom prst="rect">
          <a:avLst/>
        </a:prstGeom>
      </xdr:spPr>
    </xdr:pic>
    <xdr:clientData/>
  </xdr:twoCellAnchor>
  <xdr:twoCellAnchor>
    <xdr:from>
      <xdr:col>6</xdr:col>
      <xdr:colOff>556260</xdr:colOff>
      <xdr:row>8</xdr:row>
      <xdr:rowOff>129539</xdr:rowOff>
    </xdr:from>
    <xdr:to>
      <xdr:col>8</xdr:col>
      <xdr:colOff>182188</xdr:colOff>
      <xdr:row>9</xdr:row>
      <xdr:rowOff>160020</xdr:rowOff>
    </xdr:to>
    <xdr:sp macro="" textlink="">
      <xdr:nvSpPr>
        <xdr:cNvPr id="66" name="TextBox 65">
          <a:extLst>
            <a:ext uri="{FF2B5EF4-FFF2-40B4-BE49-F238E27FC236}">
              <a16:creationId xmlns:a16="http://schemas.microsoft.com/office/drawing/2014/main" id="{00000000-0008-0000-0100-000042000000}"/>
            </a:ext>
          </a:extLst>
        </xdr:cNvPr>
        <xdr:cNvSpPr txBox="1"/>
      </xdr:nvSpPr>
      <xdr:spPr>
        <a:xfrm>
          <a:off x="3657600" y="1325879"/>
          <a:ext cx="845128" cy="213361"/>
        </a:xfrm>
        <a:prstGeom prst="rect">
          <a:avLst/>
        </a:prstGeom>
        <a:gradFill>
          <a:gsLst>
            <a:gs pos="55500">
              <a:schemeClr val="accent1">
                <a:lumMod val="60000"/>
                <a:lumOff val="40000"/>
              </a:schemeClr>
            </a:gs>
            <a:gs pos="37000">
              <a:srgbClr val="D2C6C9"/>
            </a:gs>
            <a:gs pos="0">
              <a:schemeClr val="accent2">
                <a:lumMod val="40000"/>
                <a:lumOff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solidFill>
                <a:sysClr val="windowText" lastClr="000000"/>
              </a:solidFill>
              <a:latin typeface="Arial Black" panose="020B0A04020102020204" pitchFamily="34" charset="0"/>
            </a:rPr>
            <a:t>Medical</a:t>
          </a:r>
        </a:p>
      </xdr:txBody>
    </xdr:sp>
    <xdr:clientData/>
  </xdr:twoCellAnchor>
  <xdr:twoCellAnchor>
    <xdr:from>
      <xdr:col>6</xdr:col>
      <xdr:colOff>561799</xdr:colOff>
      <xdr:row>10</xdr:row>
      <xdr:rowOff>121918</xdr:rowOff>
    </xdr:from>
    <xdr:to>
      <xdr:col>8</xdr:col>
      <xdr:colOff>187727</xdr:colOff>
      <xdr:row>11</xdr:row>
      <xdr:rowOff>149628</xdr:rowOff>
    </xdr:to>
    <xdr:sp macro="" textlink="Analysis!I74">
      <xdr:nvSpPr>
        <xdr:cNvPr id="72" name="TextBox 71">
          <a:extLst>
            <a:ext uri="{FF2B5EF4-FFF2-40B4-BE49-F238E27FC236}">
              <a16:creationId xmlns:a16="http://schemas.microsoft.com/office/drawing/2014/main" id="{00000000-0008-0000-0100-000048000000}"/>
            </a:ext>
          </a:extLst>
        </xdr:cNvPr>
        <xdr:cNvSpPr txBox="1"/>
      </xdr:nvSpPr>
      <xdr:spPr>
        <a:xfrm>
          <a:off x="3663139" y="1684018"/>
          <a:ext cx="845128" cy="210590"/>
        </a:xfrm>
        <a:prstGeom prst="rect">
          <a:avLst/>
        </a:prstGeom>
        <a:solidFill>
          <a:schemeClr val="tx1">
            <a:lumMod val="85000"/>
            <a:lumOff val="1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1DD75D1-2437-42FD-9D13-B86528ED6C66}" type="TxLink">
            <a:rPr lang="en-US" sz="1100" b="0" i="0" u="none" strike="noStrike">
              <a:solidFill>
                <a:schemeClr val="bg1"/>
              </a:solidFill>
              <a:latin typeface="Agency FB" panose="020B0503020202020204" pitchFamily="34" charset="0"/>
              <a:ea typeface="Calibri"/>
              <a:cs typeface="Calibri"/>
            </a:rPr>
            <a:pPr algn="ctr"/>
            <a:t>$225</a:t>
          </a:fld>
          <a:endParaRPr lang="en-US" sz="800">
            <a:solidFill>
              <a:schemeClr val="bg1"/>
            </a:solidFill>
            <a:latin typeface="Agency FB" panose="020B0503020202020204" pitchFamily="34" charset="0"/>
          </a:endParaRPr>
        </a:p>
      </xdr:txBody>
    </xdr:sp>
    <xdr:clientData/>
  </xdr:twoCellAnchor>
  <xdr:twoCellAnchor>
    <xdr:from>
      <xdr:col>9</xdr:col>
      <xdr:colOff>447501</xdr:colOff>
      <xdr:row>6</xdr:row>
      <xdr:rowOff>1387</xdr:rowOff>
    </xdr:from>
    <xdr:to>
      <xdr:col>10</xdr:col>
      <xdr:colOff>268587</xdr:colOff>
      <xdr:row>8</xdr:row>
      <xdr:rowOff>60699</xdr:rowOff>
    </xdr:to>
    <xdr:pic>
      <xdr:nvPicPr>
        <xdr:cNvPr id="58" name="Graphic 57" descr="Shopping bag with solid fill">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12">
          <a:lum bright="70000" contrast="-70000"/>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5377641" y="831967"/>
          <a:ext cx="430686" cy="425072"/>
        </a:xfrm>
        <a:prstGeom prst="rect">
          <a:avLst/>
        </a:prstGeom>
      </xdr:spPr>
    </xdr:pic>
    <xdr:clientData/>
  </xdr:twoCellAnchor>
  <xdr:twoCellAnchor>
    <xdr:from>
      <xdr:col>9</xdr:col>
      <xdr:colOff>227214</xdr:colOff>
      <xdr:row>8</xdr:row>
      <xdr:rowOff>114300</xdr:rowOff>
    </xdr:from>
    <xdr:to>
      <xdr:col>11</xdr:col>
      <xdr:colOff>167640</xdr:colOff>
      <xdr:row>9</xdr:row>
      <xdr:rowOff>144780</xdr:rowOff>
    </xdr:to>
    <xdr:sp macro="" textlink="">
      <xdr:nvSpPr>
        <xdr:cNvPr id="67" name="TextBox 66">
          <a:extLst>
            <a:ext uri="{FF2B5EF4-FFF2-40B4-BE49-F238E27FC236}">
              <a16:creationId xmlns:a16="http://schemas.microsoft.com/office/drawing/2014/main" id="{00000000-0008-0000-0100-000043000000}"/>
            </a:ext>
          </a:extLst>
        </xdr:cNvPr>
        <xdr:cNvSpPr txBox="1"/>
      </xdr:nvSpPr>
      <xdr:spPr>
        <a:xfrm>
          <a:off x="5157354" y="1310640"/>
          <a:ext cx="1159626" cy="213360"/>
        </a:xfrm>
        <a:prstGeom prst="rect">
          <a:avLst/>
        </a:prstGeom>
        <a:gradFill>
          <a:gsLst>
            <a:gs pos="55500">
              <a:schemeClr val="accent1">
                <a:lumMod val="60000"/>
                <a:lumOff val="40000"/>
              </a:schemeClr>
            </a:gs>
            <a:gs pos="37000">
              <a:srgbClr val="D2C6C9"/>
            </a:gs>
            <a:gs pos="0">
              <a:schemeClr val="accent2">
                <a:lumMod val="40000"/>
                <a:lumOff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solidFill>
                <a:sysClr val="windowText" lastClr="000000"/>
              </a:solidFill>
              <a:latin typeface="Arial Black" panose="020B0A04020102020204" pitchFamily="34" charset="0"/>
            </a:rPr>
            <a:t>Discretionary</a:t>
          </a:r>
        </a:p>
      </xdr:txBody>
    </xdr:sp>
    <xdr:clientData/>
  </xdr:twoCellAnchor>
  <xdr:twoCellAnchor>
    <xdr:from>
      <xdr:col>9</xdr:col>
      <xdr:colOff>373376</xdr:colOff>
      <xdr:row>10</xdr:row>
      <xdr:rowOff>144778</xdr:rowOff>
    </xdr:from>
    <xdr:to>
      <xdr:col>10</xdr:col>
      <xdr:colOff>608904</xdr:colOff>
      <xdr:row>11</xdr:row>
      <xdr:rowOff>172488</xdr:rowOff>
    </xdr:to>
    <xdr:sp macro="" textlink="Analysis!I70">
      <xdr:nvSpPr>
        <xdr:cNvPr id="73" name="TextBox 72">
          <a:extLst>
            <a:ext uri="{FF2B5EF4-FFF2-40B4-BE49-F238E27FC236}">
              <a16:creationId xmlns:a16="http://schemas.microsoft.com/office/drawing/2014/main" id="{00000000-0008-0000-0100-000049000000}"/>
            </a:ext>
          </a:extLst>
        </xdr:cNvPr>
        <xdr:cNvSpPr txBox="1"/>
      </xdr:nvSpPr>
      <xdr:spPr>
        <a:xfrm>
          <a:off x="5303516" y="1706878"/>
          <a:ext cx="845128" cy="210590"/>
        </a:xfrm>
        <a:prstGeom prst="rect">
          <a:avLst/>
        </a:prstGeom>
        <a:solidFill>
          <a:schemeClr val="tx1">
            <a:lumMod val="85000"/>
            <a:lumOff val="1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3D02DCE-FABB-4598-A5BD-FB9042ABF8AA}" type="TxLink">
            <a:rPr lang="en-US" sz="1100" b="0" i="0" u="none" strike="noStrike">
              <a:solidFill>
                <a:schemeClr val="bg1"/>
              </a:solidFill>
              <a:latin typeface="Agency FB" panose="020B0503020202020204" pitchFamily="34" charset="0"/>
              <a:ea typeface="Calibri"/>
              <a:cs typeface="Calibri"/>
            </a:rPr>
            <a:pPr algn="ctr"/>
            <a:t>$7,028</a:t>
          </a:fld>
          <a:endParaRPr lang="en-US" sz="800">
            <a:solidFill>
              <a:schemeClr val="bg1"/>
            </a:solidFill>
            <a:latin typeface="Agency FB" panose="020B0503020202020204" pitchFamily="34" charset="0"/>
          </a:endParaRPr>
        </a:p>
      </xdr:txBody>
    </xdr:sp>
    <xdr:clientData/>
  </xdr:twoCellAnchor>
  <xdr:twoCellAnchor>
    <xdr:from>
      <xdr:col>12</xdr:col>
      <xdr:colOff>206418</xdr:colOff>
      <xdr:row>6</xdr:row>
      <xdr:rowOff>33251</xdr:rowOff>
    </xdr:from>
    <xdr:to>
      <xdr:col>13</xdr:col>
      <xdr:colOff>102139</xdr:colOff>
      <xdr:row>8</xdr:row>
      <xdr:rowOff>15316</xdr:rowOff>
    </xdr:to>
    <xdr:pic>
      <xdr:nvPicPr>
        <xdr:cNvPr id="57" name="Graphic 56" descr="Car">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14">
          <a:lum bright="70000" contrast="-70000"/>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6965358" y="863831"/>
          <a:ext cx="505321" cy="347825"/>
        </a:xfrm>
        <a:prstGeom prst="rect">
          <a:avLst/>
        </a:prstGeom>
      </xdr:spPr>
    </xdr:pic>
    <xdr:clientData/>
  </xdr:twoCellAnchor>
  <xdr:twoCellAnchor>
    <xdr:from>
      <xdr:col>12</xdr:col>
      <xdr:colOff>36022</xdr:colOff>
      <xdr:row>8</xdr:row>
      <xdr:rowOff>76199</xdr:rowOff>
    </xdr:from>
    <xdr:to>
      <xdr:col>13</xdr:col>
      <xdr:colOff>271550</xdr:colOff>
      <xdr:row>9</xdr:row>
      <xdr:rowOff>106680</xdr:rowOff>
    </xdr:to>
    <xdr:sp macro="" textlink="">
      <xdr:nvSpPr>
        <xdr:cNvPr id="68" name="TextBox 67">
          <a:extLst>
            <a:ext uri="{FF2B5EF4-FFF2-40B4-BE49-F238E27FC236}">
              <a16:creationId xmlns:a16="http://schemas.microsoft.com/office/drawing/2014/main" id="{00000000-0008-0000-0100-000044000000}"/>
            </a:ext>
          </a:extLst>
        </xdr:cNvPr>
        <xdr:cNvSpPr txBox="1"/>
      </xdr:nvSpPr>
      <xdr:spPr>
        <a:xfrm>
          <a:off x="6794962" y="1272539"/>
          <a:ext cx="845128" cy="213361"/>
        </a:xfrm>
        <a:prstGeom prst="rect">
          <a:avLst/>
        </a:prstGeom>
        <a:gradFill>
          <a:gsLst>
            <a:gs pos="55500">
              <a:schemeClr val="accent1">
                <a:lumMod val="60000"/>
                <a:lumOff val="40000"/>
              </a:schemeClr>
            </a:gs>
            <a:gs pos="37000">
              <a:srgbClr val="D2C6C9"/>
            </a:gs>
            <a:gs pos="0">
              <a:schemeClr val="accent2">
                <a:lumMod val="40000"/>
                <a:lumOff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a:solidFill>
                <a:sysClr val="windowText" lastClr="000000"/>
              </a:solidFill>
              <a:latin typeface="Arial Black" panose="020B0A04020102020204" pitchFamily="34" charset="0"/>
            </a:rPr>
            <a:t>Transport</a:t>
          </a:r>
          <a:endParaRPr lang="en-US" sz="1000">
            <a:solidFill>
              <a:sysClr val="windowText" lastClr="000000"/>
            </a:solidFill>
            <a:latin typeface="Arial Black" panose="020B0A04020102020204" pitchFamily="34" charset="0"/>
          </a:endParaRPr>
        </a:p>
      </xdr:txBody>
    </xdr:sp>
    <xdr:clientData/>
  </xdr:twoCellAnchor>
  <xdr:twoCellAnchor>
    <xdr:from>
      <xdr:col>12</xdr:col>
      <xdr:colOff>78275</xdr:colOff>
      <xdr:row>10</xdr:row>
      <xdr:rowOff>76198</xdr:rowOff>
    </xdr:from>
    <xdr:to>
      <xdr:col>13</xdr:col>
      <xdr:colOff>313803</xdr:colOff>
      <xdr:row>11</xdr:row>
      <xdr:rowOff>103908</xdr:rowOff>
    </xdr:to>
    <xdr:sp macro="" textlink="Analysis!I71">
      <xdr:nvSpPr>
        <xdr:cNvPr id="74" name="TextBox 73">
          <a:extLst>
            <a:ext uri="{FF2B5EF4-FFF2-40B4-BE49-F238E27FC236}">
              <a16:creationId xmlns:a16="http://schemas.microsoft.com/office/drawing/2014/main" id="{00000000-0008-0000-0100-00004A000000}"/>
            </a:ext>
          </a:extLst>
        </xdr:cNvPr>
        <xdr:cNvSpPr txBox="1"/>
      </xdr:nvSpPr>
      <xdr:spPr>
        <a:xfrm>
          <a:off x="6837215" y="1638298"/>
          <a:ext cx="845128" cy="210590"/>
        </a:xfrm>
        <a:prstGeom prst="rect">
          <a:avLst/>
        </a:prstGeom>
        <a:solidFill>
          <a:schemeClr val="tx1">
            <a:lumMod val="85000"/>
            <a:lumOff val="1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59ED8EE-E56B-44B6-9109-A7F903908A99}" type="TxLink">
            <a:rPr lang="en-US" sz="1100" b="0" i="0" u="none" strike="noStrike">
              <a:solidFill>
                <a:schemeClr val="bg1"/>
              </a:solidFill>
              <a:latin typeface="Agency FB" panose="020B0503020202020204" pitchFamily="34" charset="0"/>
              <a:ea typeface="Calibri"/>
              <a:cs typeface="Calibri"/>
            </a:rPr>
            <a:pPr algn="ctr"/>
            <a:t>$3,515</a:t>
          </a:fld>
          <a:endParaRPr lang="en-US" sz="800">
            <a:solidFill>
              <a:schemeClr val="bg1"/>
            </a:solidFill>
            <a:latin typeface="Agency FB" panose="020B0503020202020204" pitchFamily="34" charset="0"/>
          </a:endParaRPr>
        </a:p>
      </xdr:txBody>
    </xdr:sp>
    <xdr:clientData/>
  </xdr:twoCellAnchor>
  <xdr:twoCellAnchor>
    <xdr:from>
      <xdr:col>16</xdr:col>
      <xdr:colOff>522140</xdr:colOff>
      <xdr:row>4</xdr:row>
      <xdr:rowOff>178203</xdr:rowOff>
    </xdr:from>
    <xdr:to>
      <xdr:col>20</xdr:col>
      <xdr:colOff>141140</xdr:colOff>
      <xdr:row>40</xdr:row>
      <xdr:rowOff>180975</xdr:rowOff>
    </xdr:to>
    <xdr:sp macro="" textlink="">
      <xdr:nvSpPr>
        <xdr:cNvPr id="18" name="Rectangle: Rounded Corners 17">
          <a:extLst>
            <a:ext uri="{FF2B5EF4-FFF2-40B4-BE49-F238E27FC236}">
              <a16:creationId xmlns:a16="http://schemas.microsoft.com/office/drawing/2014/main" id="{00000000-0008-0000-0100-000012000000}"/>
            </a:ext>
          </a:extLst>
        </xdr:cNvPr>
        <xdr:cNvSpPr/>
      </xdr:nvSpPr>
      <xdr:spPr>
        <a:xfrm>
          <a:off x="9970940" y="654453"/>
          <a:ext cx="2057400" cy="6860772"/>
        </a:xfrm>
        <a:prstGeom prst="roundRect">
          <a:avLst>
            <a:gd name="adj" fmla="val 4868"/>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16</xdr:col>
          <xdr:colOff>541019</xdr:colOff>
          <xdr:row>26</xdr:row>
          <xdr:rowOff>139065</xdr:rowOff>
        </xdr:from>
        <xdr:to>
          <xdr:col>18</xdr:col>
          <xdr:colOff>276224</xdr:colOff>
          <xdr:row>28</xdr:row>
          <xdr:rowOff>161925</xdr:rowOff>
        </xdr:to>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Expenses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26</xdr:row>
          <xdr:rowOff>139064</xdr:rowOff>
        </xdr:from>
        <xdr:to>
          <xdr:col>20</xdr:col>
          <xdr:colOff>152400</xdr:colOff>
          <xdr:row>29</xdr:row>
          <xdr:rowOff>2473</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Amount</a:t>
              </a:r>
            </a:p>
          </xdr:txBody>
        </xdr:sp>
        <xdr:clientData/>
      </xdr:twoCellAnchor>
    </mc:Choice>
    <mc:Fallback/>
  </mc:AlternateContent>
  <xdr:twoCellAnchor>
    <xdr:from>
      <xdr:col>16</xdr:col>
      <xdr:colOff>450272</xdr:colOff>
      <xdr:row>28</xdr:row>
      <xdr:rowOff>159327</xdr:rowOff>
    </xdr:from>
    <xdr:to>
      <xdr:col>20</xdr:col>
      <xdr:colOff>145472</xdr:colOff>
      <xdr:row>39</xdr:row>
      <xdr:rowOff>85725</xdr:rowOff>
    </xdr:to>
    <xdr:graphicFrame macro="">
      <xdr:nvGraphicFramePr>
        <xdr:cNvPr id="75" name="Chart 74">
          <a:extLst>
            <a:ext uri="{FF2B5EF4-FFF2-40B4-BE49-F238E27FC236}">
              <a16:creationId xmlns:a16="http://schemas.microsoft.com/office/drawing/2014/main" id="{00000000-0008-0000-0100-00004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xdr:col>
      <xdr:colOff>590892</xdr:colOff>
      <xdr:row>10</xdr:row>
      <xdr:rowOff>111183</xdr:rowOff>
    </xdr:from>
    <xdr:to>
      <xdr:col>20</xdr:col>
      <xdr:colOff>200889</xdr:colOff>
      <xdr:row>16</xdr:row>
      <xdr:rowOff>5196</xdr:rowOff>
    </xdr:to>
    <mc:AlternateContent xmlns:mc="http://schemas.openxmlformats.org/markup-compatibility/2006">
      <mc:Choice xmlns:a14="http://schemas.microsoft.com/office/drawing/2010/main" Requires="a14">
        <xdr:graphicFrame macro="">
          <xdr:nvGraphicFramePr>
            <xdr:cNvPr id="77" name="Month Number 1">
              <a:extLst>
                <a:ext uri="{FF2B5EF4-FFF2-40B4-BE49-F238E27FC236}">
                  <a16:creationId xmlns:a16="http://schemas.microsoft.com/office/drawing/2014/main" id="{00000000-0008-0000-0100-00004D000000}"/>
                </a:ext>
              </a:extLst>
            </xdr:cNvPr>
            <xdr:cNvGraphicFramePr/>
          </xdr:nvGraphicFramePr>
          <xdr:xfrm>
            <a:off x="0" y="0"/>
            <a:ext cx="0" cy="0"/>
          </xdr:xfrm>
          <a:graphic>
            <a:graphicData uri="http://schemas.microsoft.com/office/drawing/2010/slicer">
              <sle:slicer xmlns:sle="http://schemas.microsoft.com/office/drawing/2010/slicer" name="Month Number 1"/>
            </a:graphicData>
          </a:graphic>
        </xdr:graphicFrame>
      </mc:Choice>
      <mc:Fallback>
        <xdr:sp macro="" textlink="">
          <xdr:nvSpPr>
            <xdr:cNvPr id="0" name=""/>
            <xdr:cNvSpPr>
              <a:spLocks noTextEdit="1"/>
            </xdr:cNvSpPr>
          </xdr:nvSpPr>
          <xdr:spPr>
            <a:xfrm>
              <a:off x="10081256" y="1714352"/>
              <a:ext cx="2064230" cy="10221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11</xdr:row>
      <xdr:rowOff>114300</xdr:rowOff>
    </xdr:from>
    <xdr:to>
      <xdr:col>14</xdr:col>
      <xdr:colOff>298738</xdr:colOff>
      <xdr:row>28</xdr:row>
      <xdr:rowOff>48490</xdr:rowOff>
    </xdr:to>
    <xdr:grpSp>
      <xdr:nvGrpSpPr>
        <xdr:cNvPr id="107" name="Group 106">
          <a:extLst>
            <a:ext uri="{FF2B5EF4-FFF2-40B4-BE49-F238E27FC236}">
              <a16:creationId xmlns:a16="http://schemas.microsoft.com/office/drawing/2014/main" id="{00000000-0008-0000-0100-00006B000000}"/>
            </a:ext>
          </a:extLst>
        </xdr:cNvPr>
        <xdr:cNvGrpSpPr/>
      </xdr:nvGrpSpPr>
      <xdr:grpSpPr>
        <a:xfrm>
          <a:off x="0" y="1905495"/>
          <a:ext cx="8561985" cy="3130631"/>
          <a:chOff x="0" y="2095464"/>
          <a:chExt cx="8618696" cy="2996082"/>
        </a:xfrm>
      </xdr:grpSpPr>
      <xdr:sp macro="" textlink="">
        <xdr:nvSpPr>
          <xdr:cNvPr id="27" name="Rectangle: Rounded Corners 26">
            <a:extLst>
              <a:ext uri="{FF2B5EF4-FFF2-40B4-BE49-F238E27FC236}">
                <a16:creationId xmlns:a16="http://schemas.microsoft.com/office/drawing/2014/main" id="{00000000-0008-0000-0100-00001B000000}"/>
              </a:ext>
            </a:extLst>
          </xdr:cNvPr>
          <xdr:cNvSpPr/>
        </xdr:nvSpPr>
        <xdr:spPr>
          <a:xfrm>
            <a:off x="813262" y="2095464"/>
            <a:ext cx="2752344" cy="2391052"/>
          </a:xfrm>
          <a:prstGeom prst="roundRect">
            <a:avLst>
              <a:gd name="adj" fmla="val 1291"/>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8" name="Chart 27">
            <a:extLst>
              <a:ext uri="{FF2B5EF4-FFF2-40B4-BE49-F238E27FC236}">
                <a16:creationId xmlns:a16="http://schemas.microsoft.com/office/drawing/2014/main" id="{00000000-0008-0000-0100-00001C000000}"/>
              </a:ext>
            </a:extLst>
          </xdr:cNvPr>
          <xdr:cNvGraphicFramePr>
            <a:graphicFrameLocks/>
          </xdr:cNvGraphicFramePr>
        </xdr:nvGraphicFramePr>
        <xdr:xfrm>
          <a:off x="0" y="2383297"/>
          <a:ext cx="4209011" cy="2375738"/>
        </xdr:xfrm>
        <a:graphic>
          <a:graphicData uri="http://schemas.openxmlformats.org/drawingml/2006/chart">
            <c:chart xmlns:c="http://schemas.openxmlformats.org/drawingml/2006/chart" xmlns:r="http://schemas.openxmlformats.org/officeDocument/2006/relationships" r:id="rId17"/>
          </a:graphicData>
        </a:graphic>
      </xdr:graphicFrame>
      <xdr:sp macro="" textlink="">
        <xdr:nvSpPr>
          <xdr:cNvPr id="31" name="Oval 30">
            <a:extLst>
              <a:ext uri="{FF2B5EF4-FFF2-40B4-BE49-F238E27FC236}">
                <a16:creationId xmlns:a16="http://schemas.microsoft.com/office/drawing/2014/main" id="{00000000-0008-0000-0100-00001F000000}"/>
              </a:ext>
            </a:extLst>
          </xdr:cNvPr>
          <xdr:cNvSpPr/>
        </xdr:nvSpPr>
        <xdr:spPr>
          <a:xfrm>
            <a:off x="2182093" y="4035138"/>
            <a:ext cx="173181" cy="173180"/>
          </a:xfrm>
          <a:prstGeom prst="ellipse">
            <a:avLst/>
          </a:prstGeom>
          <a:solidFill>
            <a:srgbClr val="FF585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Oval 31">
            <a:extLst>
              <a:ext uri="{FF2B5EF4-FFF2-40B4-BE49-F238E27FC236}">
                <a16:creationId xmlns:a16="http://schemas.microsoft.com/office/drawing/2014/main" id="{00000000-0008-0000-0100-000020000000}"/>
              </a:ext>
            </a:extLst>
          </xdr:cNvPr>
          <xdr:cNvSpPr/>
        </xdr:nvSpPr>
        <xdr:spPr>
          <a:xfrm>
            <a:off x="2182093" y="2881747"/>
            <a:ext cx="173181" cy="173180"/>
          </a:xfrm>
          <a:prstGeom prst="ellipse">
            <a:avLst/>
          </a:prstGeom>
          <a:solidFill>
            <a:srgbClr val="5C38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100-000021000000}"/>
              </a:ext>
            </a:extLst>
          </xdr:cNvPr>
          <xdr:cNvSpPr/>
        </xdr:nvSpPr>
        <xdr:spPr>
          <a:xfrm>
            <a:off x="2175165" y="3458443"/>
            <a:ext cx="173181" cy="173180"/>
          </a:xfrm>
          <a:prstGeom prst="ellipse">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TextBox 33">
            <a:extLst>
              <a:ext uri="{FF2B5EF4-FFF2-40B4-BE49-F238E27FC236}">
                <a16:creationId xmlns:a16="http://schemas.microsoft.com/office/drawing/2014/main" id="{00000000-0008-0000-0100-000022000000}"/>
              </a:ext>
            </a:extLst>
          </xdr:cNvPr>
          <xdr:cNvSpPr txBox="1"/>
        </xdr:nvSpPr>
        <xdr:spPr>
          <a:xfrm>
            <a:off x="2473035" y="2854036"/>
            <a:ext cx="949036" cy="2563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Amount</a:t>
            </a:r>
            <a:r>
              <a:rPr lang="en-US" sz="1100">
                <a:solidFill>
                  <a:schemeClr val="bg1"/>
                </a:solidFill>
              </a:rPr>
              <a:t> Left</a:t>
            </a:r>
          </a:p>
        </xdr:txBody>
      </xdr:sp>
      <xdr:sp macro="" textlink="">
        <xdr:nvSpPr>
          <xdr:cNvPr id="35" name="TextBox 34">
            <a:extLst>
              <a:ext uri="{FF2B5EF4-FFF2-40B4-BE49-F238E27FC236}">
                <a16:creationId xmlns:a16="http://schemas.microsoft.com/office/drawing/2014/main" id="{00000000-0008-0000-0100-000023000000}"/>
              </a:ext>
            </a:extLst>
          </xdr:cNvPr>
          <xdr:cNvSpPr txBox="1"/>
        </xdr:nvSpPr>
        <xdr:spPr>
          <a:xfrm>
            <a:off x="2500745" y="3962401"/>
            <a:ext cx="949036" cy="2563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Debit</a:t>
            </a:r>
          </a:p>
        </xdr:txBody>
      </xdr:sp>
      <xdr:sp macro="" textlink="">
        <xdr:nvSpPr>
          <xdr:cNvPr id="36" name="TextBox 35">
            <a:extLst>
              <a:ext uri="{FF2B5EF4-FFF2-40B4-BE49-F238E27FC236}">
                <a16:creationId xmlns:a16="http://schemas.microsoft.com/office/drawing/2014/main" id="{00000000-0008-0000-0100-000024000000}"/>
              </a:ext>
            </a:extLst>
          </xdr:cNvPr>
          <xdr:cNvSpPr txBox="1"/>
        </xdr:nvSpPr>
        <xdr:spPr>
          <a:xfrm>
            <a:off x="2493817" y="3408219"/>
            <a:ext cx="949036" cy="2563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Credit</a:t>
            </a:r>
          </a:p>
        </xdr:txBody>
      </xdr:sp>
      <xdr:sp macro="" textlink="">
        <xdr:nvSpPr>
          <xdr:cNvPr id="105" name="TextBox 104">
            <a:extLst>
              <a:ext uri="{FF2B5EF4-FFF2-40B4-BE49-F238E27FC236}">
                <a16:creationId xmlns:a16="http://schemas.microsoft.com/office/drawing/2014/main" id="{00000000-0008-0000-0100-000069000000}"/>
              </a:ext>
            </a:extLst>
          </xdr:cNvPr>
          <xdr:cNvSpPr txBox="1"/>
        </xdr:nvSpPr>
        <xdr:spPr>
          <a:xfrm>
            <a:off x="1459656" y="2165146"/>
            <a:ext cx="1627909" cy="415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Out-Flow &amp; In-Flow</a:t>
            </a:r>
          </a:p>
        </xdr:txBody>
      </xdr:sp>
      <xdr:sp macro="" textlink="">
        <xdr:nvSpPr>
          <xdr:cNvPr id="109" name="TextBox 108">
            <a:extLst>
              <a:ext uri="{FF2B5EF4-FFF2-40B4-BE49-F238E27FC236}">
                <a16:creationId xmlns:a16="http://schemas.microsoft.com/office/drawing/2014/main" id="{00000000-0008-0000-0100-00006D000000}"/>
              </a:ext>
            </a:extLst>
          </xdr:cNvPr>
          <xdr:cNvSpPr txBox="1"/>
        </xdr:nvSpPr>
        <xdr:spPr>
          <a:xfrm>
            <a:off x="6990787" y="2182411"/>
            <a:ext cx="1627909" cy="415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Weekly</a:t>
            </a:r>
            <a:r>
              <a:rPr lang="en-US" sz="1100" b="1" baseline="0">
                <a:solidFill>
                  <a:schemeClr val="bg1"/>
                </a:solidFill>
              </a:rPr>
              <a:t> Expenses View</a:t>
            </a:r>
            <a:endParaRPr lang="en-US" sz="1100" b="1">
              <a:solidFill>
                <a:schemeClr val="bg1"/>
              </a:solidFill>
            </a:endParaRPr>
          </a:p>
        </xdr:txBody>
      </xdr:sp>
      <xdr:sp macro="" textlink="">
        <xdr:nvSpPr>
          <xdr:cNvPr id="114" name="TextBox 113">
            <a:extLst>
              <a:ext uri="{FF2B5EF4-FFF2-40B4-BE49-F238E27FC236}">
                <a16:creationId xmlns:a16="http://schemas.microsoft.com/office/drawing/2014/main" id="{00000000-0008-0000-0100-000072000000}"/>
              </a:ext>
            </a:extLst>
          </xdr:cNvPr>
          <xdr:cNvSpPr txBox="1"/>
        </xdr:nvSpPr>
        <xdr:spPr>
          <a:xfrm>
            <a:off x="831272" y="4675910"/>
            <a:ext cx="1627909" cy="415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Expenses</a:t>
            </a:r>
            <a:r>
              <a:rPr lang="en-US" sz="1100" b="1" baseline="0">
                <a:solidFill>
                  <a:schemeClr val="bg1"/>
                </a:solidFill>
              </a:rPr>
              <a:t> By Categories</a:t>
            </a:r>
          </a:p>
          <a:p>
            <a:endParaRPr lang="en-US" sz="1100" b="1">
              <a:solidFill>
                <a:schemeClr val="bg1"/>
              </a:solidFill>
            </a:endParaRPr>
          </a:p>
        </xdr:txBody>
      </xdr:sp>
    </xdr:grpSp>
    <xdr:clientData/>
  </xdr:twoCellAnchor>
  <xdr:twoCellAnchor>
    <xdr:from>
      <xdr:col>6</xdr:col>
      <xdr:colOff>473822</xdr:colOff>
      <xdr:row>11</xdr:row>
      <xdr:rowOff>152400</xdr:rowOff>
    </xdr:from>
    <xdr:to>
      <xdr:col>11</xdr:col>
      <xdr:colOff>390525</xdr:colOff>
      <xdr:row>24</xdr:row>
      <xdr:rowOff>150045</xdr:rowOff>
    </xdr:to>
    <xdr:grpSp>
      <xdr:nvGrpSpPr>
        <xdr:cNvPr id="108" name="Group 107">
          <a:extLst>
            <a:ext uri="{FF2B5EF4-FFF2-40B4-BE49-F238E27FC236}">
              <a16:creationId xmlns:a16="http://schemas.microsoft.com/office/drawing/2014/main" id="{00000000-0008-0000-0100-00006C000000}"/>
            </a:ext>
          </a:extLst>
        </xdr:cNvPr>
        <xdr:cNvGrpSpPr/>
      </xdr:nvGrpSpPr>
      <xdr:grpSpPr>
        <a:xfrm>
          <a:off x="3591095" y="1943595"/>
          <a:ext cx="3222001" cy="2441982"/>
          <a:chOff x="3916677" y="2433551"/>
          <a:chExt cx="2752344" cy="2039112"/>
        </a:xfrm>
      </xdr:grpSpPr>
      <xdr:sp macro="" textlink="">
        <xdr:nvSpPr>
          <xdr:cNvPr id="37" name="Rectangle: Rounded Corners 36">
            <a:extLst>
              <a:ext uri="{FF2B5EF4-FFF2-40B4-BE49-F238E27FC236}">
                <a16:creationId xmlns:a16="http://schemas.microsoft.com/office/drawing/2014/main" id="{00000000-0008-0000-0100-000025000000}"/>
              </a:ext>
            </a:extLst>
          </xdr:cNvPr>
          <xdr:cNvSpPr/>
        </xdr:nvSpPr>
        <xdr:spPr>
          <a:xfrm>
            <a:off x="3916677" y="2433551"/>
            <a:ext cx="2752344" cy="2039112"/>
          </a:xfrm>
          <a:prstGeom prst="roundRect">
            <a:avLst>
              <a:gd name="adj" fmla="val 1291"/>
            </a:avLst>
          </a:prstGeom>
          <a:solidFill>
            <a:schemeClr val="tx1">
              <a:lumMod val="85000"/>
              <a:lumOff val="15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39" name="Chart 38">
            <a:extLst>
              <a:ext uri="{FF2B5EF4-FFF2-40B4-BE49-F238E27FC236}">
                <a16:creationId xmlns:a16="http://schemas.microsoft.com/office/drawing/2014/main" id="{00000000-0008-0000-0100-000027000000}"/>
              </a:ext>
            </a:extLst>
          </xdr:cNvPr>
          <xdr:cNvGraphicFramePr>
            <a:graphicFrameLocks/>
          </xdr:cNvGraphicFramePr>
        </xdr:nvGraphicFramePr>
        <xdr:xfrm>
          <a:off x="4087090" y="2535381"/>
          <a:ext cx="2306782" cy="1752600"/>
        </xdr:xfrm>
        <a:graphic>
          <a:graphicData uri="http://schemas.openxmlformats.org/drawingml/2006/chart">
            <c:chart xmlns:c="http://schemas.openxmlformats.org/drawingml/2006/chart" xmlns:r="http://schemas.openxmlformats.org/officeDocument/2006/relationships" r:id="rId18"/>
          </a:graphicData>
        </a:graphic>
      </xdr:graphicFrame>
      <xdr:sp macro="" textlink="">
        <xdr:nvSpPr>
          <xdr:cNvPr id="40" name="TextBox 39">
            <a:extLst>
              <a:ext uri="{FF2B5EF4-FFF2-40B4-BE49-F238E27FC236}">
                <a16:creationId xmlns:a16="http://schemas.microsoft.com/office/drawing/2014/main" id="{00000000-0008-0000-0100-000028000000}"/>
              </a:ext>
            </a:extLst>
          </xdr:cNvPr>
          <xdr:cNvSpPr txBox="1"/>
        </xdr:nvSpPr>
        <xdr:spPr>
          <a:xfrm>
            <a:off x="4142510" y="3872346"/>
            <a:ext cx="630381" cy="2147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bg1"/>
                </a:solidFill>
              </a:rPr>
              <a:t>YouTube</a:t>
            </a:r>
          </a:p>
        </xdr:txBody>
      </xdr:sp>
      <xdr:sp macro="" textlink="">
        <xdr:nvSpPr>
          <xdr:cNvPr id="41" name="TextBox 40">
            <a:extLst>
              <a:ext uri="{FF2B5EF4-FFF2-40B4-BE49-F238E27FC236}">
                <a16:creationId xmlns:a16="http://schemas.microsoft.com/office/drawing/2014/main" id="{00000000-0008-0000-0100-000029000000}"/>
              </a:ext>
            </a:extLst>
          </xdr:cNvPr>
          <xdr:cNvSpPr txBox="1"/>
        </xdr:nvSpPr>
        <xdr:spPr>
          <a:xfrm>
            <a:off x="5001491" y="3886200"/>
            <a:ext cx="457200" cy="200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bg1"/>
                </a:solidFill>
              </a:rPr>
              <a:t>DWD</a:t>
            </a:r>
          </a:p>
        </xdr:txBody>
      </xdr:sp>
      <xdr:sp macro="" textlink="">
        <xdr:nvSpPr>
          <xdr:cNvPr id="42" name="TextBox 41">
            <a:extLst>
              <a:ext uri="{FF2B5EF4-FFF2-40B4-BE49-F238E27FC236}">
                <a16:creationId xmlns:a16="http://schemas.microsoft.com/office/drawing/2014/main" id="{00000000-0008-0000-0100-00002A000000}"/>
              </a:ext>
            </a:extLst>
          </xdr:cNvPr>
          <xdr:cNvSpPr txBox="1"/>
        </xdr:nvSpPr>
        <xdr:spPr>
          <a:xfrm>
            <a:off x="5687292" y="3837709"/>
            <a:ext cx="824345" cy="249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Teachable</a:t>
            </a:r>
          </a:p>
        </xdr:txBody>
      </xdr:sp>
      <xdr:sp macro="" textlink="Analysis!I43">
        <xdr:nvSpPr>
          <xdr:cNvPr id="43" name="TextBox 42">
            <a:extLst>
              <a:ext uri="{FF2B5EF4-FFF2-40B4-BE49-F238E27FC236}">
                <a16:creationId xmlns:a16="http://schemas.microsoft.com/office/drawing/2014/main" id="{00000000-0008-0000-0100-00002B000000}"/>
              </a:ext>
            </a:extLst>
          </xdr:cNvPr>
          <xdr:cNvSpPr txBox="1"/>
        </xdr:nvSpPr>
        <xdr:spPr>
          <a:xfrm>
            <a:off x="4135583" y="4204856"/>
            <a:ext cx="630381" cy="214745"/>
          </a:xfrm>
          <a:prstGeom prst="rect">
            <a:avLst/>
          </a:prstGeom>
          <a:solidFill>
            <a:srgbClr val="FFD058"/>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1785F38-0CBD-444A-B7B4-521D6D51DBD2}" type="TxLink">
              <a:rPr lang="en-US" sz="1100" b="0" i="0" u="none" strike="noStrike">
                <a:solidFill>
                  <a:srgbClr val="000000"/>
                </a:solidFill>
                <a:latin typeface="Calibri"/>
                <a:ea typeface="Calibri"/>
                <a:cs typeface="Calibri"/>
              </a:rPr>
              <a:pPr algn="ctr"/>
              <a:t>$10,940</a:t>
            </a:fld>
            <a:endParaRPr lang="en-US" sz="900"/>
          </a:p>
        </xdr:txBody>
      </xdr:sp>
      <xdr:sp macro="" textlink="Analysis!I41">
        <xdr:nvSpPr>
          <xdr:cNvPr id="44" name="TextBox 43">
            <a:extLst>
              <a:ext uri="{FF2B5EF4-FFF2-40B4-BE49-F238E27FC236}">
                <a16:creationId xmlns:a16="http://schemas.microsoft.com/office/drawing/2014/main" id="{00000000-0008-0000-0100-00002C000000}"/>
              </a:ext>
            </a:extLst>
          </xdr:cNvPr>
          <xdr:cNvSpPr txBox="1"/>
        </xdr:nvSpPr>
        <xdr:spPr>
          <a:xfrm>
            <a:off x="4991101" y="4204856"/>
            <a:ext cx="630381" cy="214745"/>
          </a:xfrm>
          <a:prstGeom prst="rect">
            <a:avLst/>
          </a:prstGeom>
          <a:solidFill>
            <a:schemeClr val="bg1">
              <a:lumMod val="6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D490289-B652-4866-84C6-6A43D38DD5DF}" type="TxLink">
              <a:rPr lang="en-US" sz="1100" b="0" i="0" u="none" strike="noStrike">
                <a:solidFill>
                  <a:srgbClr val="000000"/>
                </a:solidFill>
                <a:latin typeface="Calibri"/>
                <a:ea typeface="Calibri"/>
                <a:cs typeface="Calibri"/>
              </a:rPr>
              <a:pPr algn="ctr"/>
              <a:t>$50,000</a:t>
            </a:fld>
            <a:endParaRPr lang="en-US" sz="900"/>
          </a:p>
        </xdr:txBody>
      </xdr:sp>
      <xdr:sp macro="" textlink="Analysis!I42">
        <xdr:nvSpPr>
          <xdr:cNvPr id="45" name="TextBox 44">
            <a:extLst>
              <a:ext uri="{FF2B5EF4-FFF2-40B4-BE49-F238E27FC236}">
                <a16:creationId xmlns:a16="http://schemas.microsoft.com/office/drawing/2014/main" id="{00000000-0008-0000-0100-00002D000000}"/>
              </a:ext>
            </a:extLst>
          </xdr:cNvPr>
          <xdr:cNvSpPr txBox="1"/>
        </xdr:nvSpPr>
        <xdr:spPr>
          <a:xfrm>
            <a:off x="5846619" y="4204856"/>
            <a:ext cx="630381" cy="214745"/>
          </a:xfrm>
          <a:prstGeom prst="rect">
            <a:avLst/>
          </a:prstGeom>
          <a:solidFill>
            <a:srgbClr val="FF5858"/>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163365E-BE9D-4919-8ADB-467F45E06855}" type="TxLink">
              <a:rPr lang="en-US" sz="1100" b="0" i="0" u="none" strike="noStrike">
                <a:solidFill>
                  <a:srgbClr val="000000"/>
                </a:solidFill>
                <a:latin typeface="Calibri"/>
                <a:ea typeface="Calibri"/>
                <a:cs typeface="Calibri"/>
              </a:rPr>
              <a:pPr algn="ctr"/>
              <a:t>$4,500</a:t>
            </a:fld>
            <a:endParaRPr lang="en-US" sz="900"/>
          </a:p>
        </xdr:txBody>
      </xdr:sp>
      <xdr:sp macro="" textlink="Analysis!I44">
        <xdr:nvSpPr>
          <xdr:cNvPr id="46" name="TextBox 45">
            <a:extLst>
              <a:ext uri="{FF2B5EF4-FFF2-40B4-BE49-F238E27FC236}">
                <a16:creationId xmlns:a16="http://schemas.microsoft.com/office/drawing/2014/main" id="{00000000-0008-0000-0100-00002E000000}"/>
              </a:ext>
            </a:extLst>
          </xdr:cNvPr>
          <xdr:cNvSpPr txBox="1"/>
        </xdr:nvSpPr>
        <xdr:spPr>
          <a:xfrm>
            <a:off x="4918364" y="3068783"/>
            <a:ext cx="665018" cy="193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D0BB21B-AAA9-40D7-8411-F7E33B1D6CCA}" type="TxLink">
              <a:rPr lang="en-US" sz="1100" b="1" i="0" u="none" strike="noStrike">
                <a:solidFill>
                  <a:schemeClr val="bg1"/>
                </a:solidFill>
                <a:latin typeface="Calibri"/>
                <a:ea typeface="Calibri"/>
                <a:cs typeface="Calibri"/>
              </a:rPr>
              <a:pPr/>
              <a:t>$65,440</a:t>
            </a:fld>
            <a:endParaRPr lang="en-US" sz="1100" b="0" i="0" u="none" strike="noStrike">
              <a:solidFill>
                <a:schemeClr val="bg1"/>
              </a:solidFill>
              <a:latin typeface="Calibri"/>
              <a:ea typeface="Calibri"/>
              <a:cs typeface="Calibri"/>
            </a:endParaRPr>
          </a:p>
        </xdr:txBody>
      </xdr:sp>
      <xdr:sp macro="" textlink="">
        <xdr:nvSpPr>
          <xdr:cNvPr id="106" name="TextBox 105">
            <a:extLst>
              <a:ext uri="{FF2B5EF4-FFF2-40B4-BE49-F238E27FC236}">
                <a16:creationId xmlns:a16="http://schemas.microsoft.com/office/drawing/2014/main" id="{00000000-0008-0000-0100-00006A000000}"/>
              </a:ext>
            </a:extLst>
          </xdr:cNvPr>
          <xdr:cNvSpPr txBox="1"/>
        </xdr:nvSpPr>
        <xdr:spPr>
          <a:xfrm>
            <a:off x="3955472" y="2452255"/>
            <a:ext cx="1627909" cy="415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Income</a:t>
            </a:r>
            <a:r>
              <a:rPr lang="en-US" sz="1100" b="1" baseline="0">
                <a:solidFill>
                  <a:schemeClr val="bg1"/>
                </a:solidFill>
              </a:rPr>
              <a:t> Analysis</a:t>
            </a:r>
            <a:endParaRPr lang="en-US" sz="1100" b="1">
              <a:solidFill>
                <a:schemeClr val="bg1"/>
              </a:solidFill>
            </a:endParaRPr>
          </a:p>
        </xdr:txBody>
      </xdr:sp>
    </xdr:grpSp>
    <xdr:clientData/>
  </xdr:twoCellAnchor>
  <xdr:twoCellAnchor>
    <xdr:from>
      <xdr:col>1</xdr:col>
      <xdr:colOff>249256</xdr:colOff>
      <xdr:row>25</xdr:row>
      <xdr:rowOff>76200</xdr:rowOff>
    </xdr:from>
    <xdr:to>
      <xdr:col>13</xdr:col>
      <xdr:colOff>394036</xdr:colOff>
      <xdr:row>35</xdr:row>
      <xdr:rowOff>103909</xdr:rowOff>
    </xdr:to>
    <mc:AlternateContent xmlns:mc="http://schemas.openxmlformats.org/markup-compatibility/2006">
      <mc:Choice xmlns:cx4="http://schemas.microsoft.com/office/drawing/2016/5/10/chartex" Requires="cx4">
        <xdr:graphicFrame macro="">
          <xdr:nvGraphicFramePr>
            <xdr:cNvPr id="111" name="Chart 110">
              <a:extLst>
                <a:ext uri="{FF2B5EF4-FFF2-40B4-BE49-F238E27FC236}">
                  <a16:creationId xmlns:a16="http://schemas.microsoft.com/office/drawing/2014/main" id="{00000000-0008-0000-0100-00006F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9"/>
            </a:graphicData>
          </a:graphic>
        </xdr:graphicFrame>
      </mc:Choice>
      <mc:Fallback>
        <xdr:sp macro="" textlink="">
          <xdr:nvSpPr>
            <xdr:cNvPr id="0" name=""/>
            <xdr:cNvSpPr>
              <a:spLocks noTextEdit="1"/>
            </xdr:cNvSpPr>
          </xdr:nvSpPr>
          <xdr:spPr>
            <a:xfrm>
              <a:off x="302596" y="4381500"/>
              <a:ext cx="7459980" cy="185650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540328</xdr:colOff>
      <xdr:row>26</xdr:row>
      <xdr:rowOff>56284</xdr:rowOff>
    </xdr:from>
    <xdr:to>
      <xdr:col>13</xdr:col>
      <xdr:colOff>394854</xdr:colOff>
      <xdr:row>40</xdr:row>
      <xdr:rowOff>57150</xdr:rowOff>
    </xdr:to>
    <mc:AlternateContent xmlns:mc="http://schemas.openxmlformats.org/markup-compatibility/2006">
      <mc:Choice xmlns:cx4="http://schemas.microsoft.com/office/drawing/2016/5/10/chartex" Requires="cx4">
        <xdr:graphicFrame macro="">
          <xdr:nvGraphicFramePr>
            <xdr:cNvPr id="115" name="Chart 114">
              <a:extLst>
                <a:ext uri="{FF2B5EF4-FFF2-40B4-BE49-F238E27FC236}">
                  <a16:creationId xmlns:a16="http://schemas.microsoft.com/office/drawing/2014/main" id="{00000000-0008-0000-0100-00007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0"/>
            </a:graphicData>
          </a:graphic>
        </xdr:graphicFrame>
      </mc:Choice>
      <mc:Fallback>
        <xdr:sp macro="" textlink="">
          <xdr:nvSpPr>
            <xdr:cNvPr id="0" name=""/>
            <xdr:cNvSpPr>
              <a:spLocks noTextEdit="1"/>
            </xdr:cNvSpPr>
          </xdr:nvSpPr>
          <xdr:spPr>
            <a:xfrm>
              <a:off x="597478" y="4723534"/>
              <a:ext cx="7417376" cy="266786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17</xdr:col>
      <xdr:colOff>166522</xdr:colOff>
      <xdr:row>5</xdr:row>
      <xdr:rowOff>171104</xdr:rowOff>
    </xdr:from>
    <xdr:to>
      <xdr:col>18</xdr:col>
      <xdr:colOff>349403</xdr:colOff>
      <xdr:row>7</xdr:row>
      <xdr:rowOff>60440</xdr:rowOff>
    </xdr:to>
    <xdr:sp macro="" textlink="">
      <xdr:nvSpPr>
        <xdr:cNvPr id="29" name="TextBox 28">
          <a:extLst>
            <a:ext uri="{FF2B5EF4-FFF2-40B4-BE49-F238E27FC236}">
              <a16:creationId xmlns:a16="http://schemas.microsoft.com/office/drawing/2014/main" id="{00000000-0008-0000-0100-00001D000000}"/>
            </a:ext>
          </a:extLst>
        </xdr:cNvPr>
        <xdr:cNvSpPr txBox="1"/>
      </xdr:nvSpPr>
      <xdr:spPr>
        <a:xfrm>
          <a:off x="10314977" y="1071649"/>
          <a:ext cx="792481" cy="2495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lumMod val="85000"/>
                </a:schemeClr>
              </a:solidFill>
              <a:latin typeface="Arial" panose="020B0604020202020204" pitchFamily="34" charset="0"/>
              <a:cs typeface="Arial" panose="020B0604020202020204" pitchFamily="34" charset="0"/>
            </a:rPr>
            <a:t>Filters</a:t>
          </a:r>
        </a:p>
      </xdr:txBody>
    </xdr:sp>
    <xdr:clientData/>
  </xdr:twoCellAnchor>
  <xdr:twoCellAnchor editAs="oneCell">
    <xdr:from>
      <xdr:col>16</xdr:col>
      <xdr:colOff>547252</xdr:colOff>
      <xdr:row>6</xdr:row>
      <xdr:rowOff>7767</xdr:rowOff>
    </xdr:from>
    <xdr:to>
      <xdr:col>17</xdr:col>
      <xdr:colOff>173452</xdr:colOff>
      <xdr:row>7</xdr:row>
      <xdr:rowOff>46313</xdr:rowOff>
    </xdr:to>
    <xdr:pic>
      <xdr:nvPicPr>
        <xdr:cNvPr id="76" name="Graphic 75" descr="Filter">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10086107" y="1088422"/>
          <a:ext cx="235800" cy="228180"/>
        </a:xfrm>
        <a:prstGeom prst="rect">
          <a:avLst/>
        </a:prstGeom>
      </xdr:spPr>
    </xdr:pic>
    <xdr:clientData/>
  </xdr:twoCellAnchor>
  <xdr:twoCellAnchor editAs="oneCell">
    <xdr:from>
      <xdr:col>16</xdr:col>
      <xdr:colOff>540325</xdr:colOff>
      <xdr:row>17</xdr:row>
      <xdr:rowOff>103909</xdr:rowOff>
    </xdr:from>
    <xdr:to>
      <xdr:col>20</xdr:col>
      <xdr:colOff>173181</xdr:colOff>
      <xdr:row>22</xdr:row>
      <xdr:rowOff>111702</xdr:rowOff>
    </xdr:to>
    <mc:AlternateContent xmlns:mc="http://schemas.openxmlformats.org/markup-compatibility/2006" xmlns:a14="http://schemas.microsoft.com/office/drawing/2010/main">
      <mc:Choice Requires="a14">
        <xdr:graphicFrame macro="">
          <xdr:nvGraphicFramePr>
            <xdr:cNvPr id="80" name="Category 1">
              <a:extLst>
                <a:ext uri="{FF2B5EF4-FFF2-40B4-BE49-F238E27FC236}">
                  <a16:creationId xmlns:a16="http://schemas.microsoft.com/office/drawing/2014/main" id="{00000000-0008-0000-0100-000050000000}"/>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9737665" y="2946169"/>
              <a:ext cx="2071256" cy="9698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286790</xdr:colOff>
      <xdr:row>5</xdr:row>
      <xdr:rowOff>67887</xdr:rowOff>
    </xdr:from>
    <xdr:to>
      <xdr:col>20</xdr:col>
      <xdr:colOff>87710</xdr:colOff>
      <xdr:row>7</xdr:row>
      <xdr:rowOff>84860</xdr:rowOff>
    </xdr:to>
    <xdr:pic macro="[0]!remove_slicer_filter">
      <xdr:nvPicPr>
        <xdr:cNvPr id="82" name="Graphic 81" descr="Garbage">
          <a:extLst>
            <a:ext uri="{FF2B5EF4-FFF2-40B4-BE49-F238E27FC236}">
              <a16:creationId xmlns:a16="http://schemas.microsoft.com/office/drawing/2014/main" id="{00000000-0008-0000-0100-000052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1654445" y="968432"/>
          <a:ext cx="410520" cy="396241"/>
        </a:xfrm>
        <a:prstGeom prst="rect">
          <a:avLst/>
        </a:prstGeom>
      </xdr:spPr>
    </xdr:pic>
    <xdr:clientData/>
  </xdr:twoCellAnchor>
  <xdr:twoCellAnchor>
    <xdr:from>
      <xdr:col>16</xdr:col>
      <xdr:colOff>505689</xdr:colOff>
      <xdr:row>5</xdr:row>
      <xdr:rowOff>122613</xdr:rowOff>
    </xdr:from>
    <xdr:to>
      <xdr:col>17</xdr:col>
      <xdr:colOff>207819</xdr:colOff>
      <xdr:row>7</xdr:row>
      <xdr:rowOff>90054</xdr:rowOff>
    </xdr:to>
    <xdr:sp macro="" textlink="">
      <xdr:nvSpPr>
        <xdr:cNvPr id="83" name="Oval 82">
          <a:extLst>
            <a:ext uri="{FF2B5EF4-FFF2-40B4-BE49-F238E27FC236}">
              <a16:creationId xmlns:a16="http://schemas.microsoft.com/office/drawing/2014/main" id="{00000000-0008-0000-0100-000053000000}"/>
            </a:ext>
          </a:extLst>
        </xdr:cNvPr>
        <xdr:cNvSpPr/>
      </xdr:nvSpPr>
      <xdr:spPr>
        <a:xfrm>
          <a:off x="10044544" y="1023158"/>
          <a:ext cx="311730" cy="327660"/>
        </a:xfrm>
        <a:prstGeom prst="ellipse">
          <a:avLst/>
        </a:prstGeom>
        <a:no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519545</xdr:colOff>
      <xdr:row>8</xdr:row>
      <xdr:rowOff>65809</xdr:rowOff>
    </xdr:from>
    <xdr:to>
      <xdr:col>19</xdr:col>
      <xdr:colOff>360218</xdr:colOff>
      <xdr:row>9</xdr:row>
      <xdr:rowOff>114299</xdr:rowOff>
    </xdr:to>
    <xdr:sp macro="" textlink="Analysis!M110">
      <xdr:nvSpPr>
        <xdr:cNvPr id="87" name="TextBox 86">
          <a:extLst>
            <a:ext uri="{FF2B5EF4-FFF2-40B4-BE49-F238E27FC236}">
              <a16:creationId xmlns:a16="http://schemas.microsoft.com/office/drawing/2014/main" id="{00000000-0008-0000-0100-000057000000}"/>
            </a:ext>
          </a:extLst>
        </xdr:cNvPr>
        <xdr:cNvSpPr txBox="1"/>
      </xdr:nvSpPr>
      <xdr:spPr>
        <a:xfrm>
          <a:off x="9968345" y="1304059"/>
          <a:ext cx="1669473" cy="238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A9DA481-350C-4FC2-BFED-45AAE1C2ADC8}" type="TxLink">
            <a:rPr lang="en-US" sz="1100" b="1" i="0" u="none" strike="noStrike">
              <a:solidFill>
                <a:schemeClr val="bg1"/>
              </a:solidFill>
              <a:latin typeface="Calibri"/>
              <a:ea typeface="Calibri"/>
              <a:cs typeface="Calibri"/>
            </a:rPr>
            <a:pPr/>
            <a:t>October</a:t>
          </a:fld>
          <a:endParaRPr lang="en-US" sz="1100" b="1">
            <a:solidFill>
              <a:schemeClr val="bg1"/>
            </a:solidFill>
          </a:endParaRPr>
        </a:p>
      </xdr:txBody>
    </xdr:sp>
    <xdr:clientData/>
  </xdr:twoCellAnchor>
  <xdr:twoCellAnchor editAs="oneCell">
    <xdr:from>
      <xdr:col>19</xdr:col>
      <xdr:colOff>311724</xdr:colOff>
      <xdr:row>8</xdr:row>
      <xdr:rowOff>32558</xdr:rowOff>
    </xdr:from>
    <xdr:to>
      <xdr:col>20</xdr:col>
      <xdr:colOff>73599</xdr:colOff>
      <xdr:row>9</xdr:row>
      <xdr:rowOff>121055</xdr:rowOff>
    </xdr:to>
    <xdr:pic>
      <xdr:nvPicPr>
        <xdr:cNvPr id="88" name="Graphic 87" descr="Ethernet">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1679379" y="1473431"/>
          <a:ext cx="371475" cy="278131"/>
        </a:xfrm>
        <a:prstGeom prst="rect">
          <a:avLst/>
        </a:prstGeom>
      </xdr:spPr>
    </xdr:pic>
    <xdr:clientData/>
  </xdr:twoCellAnchor>
  <xdr:twoCellAnchor>
    <xdr:from>
      <xdr:col>16</xdr:col>
      <xdr:colOff>498763</xdr:colOff>
      <xdr:row>15</xdr:row>
      <xdr:rowOff>110836</xdr:rowOff>
    </xdr:from>
    <xdr:to>
      <xdr:col>19</xdr:col>
      <xdr:colOff>339436</xdr:colOff>
      <xdr:row>16</xdr:row>
      <xdr:rowOff>159326</xdr:rowOff>
    </xdr:to>
    <xdr:sp macro="" textlink="Analysis!M110">
      <xdr:nvSpPr>
        <xdr:cNvPr id="89" name="TextBox 88">
          <a:extLst>
            <a:ext uri="{FF2B5EF4-FFF2-40B4-BE49-F238E27FC236}">
              <a16:creationId xmlns:a16="http://schemas.microsoft.com/office/drawing/2014/main" id="{00000000-0008-0000-0100-000059000000}"/>
            </a:ext>
          </a:extLst>
        </xdr:cNvPr>
        <xdr:cNvSpPr txBox="1"/>
      </xdr:nvSpPr>
      <xdr:spPr>
        <a:xfrm>
          <a:off x="10037618" y="2812472"/>
          <a:ext cx="1669473" cy="2285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Category</a:t>
          </a:r>
          <a:r>
            <a:rPr lang="en-US" sz="1100" b="1" baseline="0">
              <a:solidFill>
                <a:schemeClr val="bg1"/>
              </a:solidFill>
            </a:rPr>
            <a:t> Filter</a:t>
          </a:r>
          <a:endParaRPr lang="en-US" sz="1100" b="1">
            <a:solidFill>
              <a:schemeClr val="bg1"/>
            </a:solidFill>
          </a:endParaRPr>
        </a:p>
      </xdr:txBody>
    </xdr:sp>
    <xdr:clientData/>
  </xdr:twoCellAnchor>
  <xdr:twoCellAnchor>
    <xdr:from>
      <xdr:col>16</xdr:col>
      <xdr:colOff>6925</xdr:colOff>
      <xdr:row>2</xdr:row>
      <xdr:rowOff>124691</xdr:rowOff>
    </xdr:from>
    <xdr:to>
      <xdr:col>16</xdr:col>
      <xdr:colOff>387926</xdr:colOff>
      <xdr:row>4</xdr:row>
      <xdr:rowOff>35674</xdr:rowOff>
    </xdr:to>
    <xdr:grpSp>
      <xdr:nvGrpSpPr>
        <xdr:cNvPr id="90" name="Group 89">
          <a:extLst>
            <a:ext uri="{FF2B5EF4-FFF2-40B4-BE49-F238E27FC236}">
              <a16:creationId xmlns:a16="http://schemas.microsoft.com/office/drawing/2014/main" id="{00000000-0008-0000-0100-00005A000000}"/>
            </a:ext>
          </a:extLst>
        </xdr:cNvPr>
        <xdr:cNvGrpSpPr/>
      </xdr:nvGrpSpPr>
      <xdr:grpSpPr>
        <a:xfrm>
          <a:off x="9497289" y="223652"/>
          <a:ext cx="381001" cy="287035"/>
          <a:chOff x="10906125" y="238125"/>
          <a:chExt cx="228600" cy="171450"/>
        </a:xfrm>
      </xdr:grpSpPr>
      <xdr:cxnSp macro="">
        <xdr:nvCxnSpPr>
          <xdr:cNvPr id="91" name="Straight Connector 90">
            <a:extLst>
              <a:ext uri="{FF2B5EF4-FFF2-40B4-BE49-F238E27FC236}">
                <a16:creationId xmlns:a16="http://schemas.microsoft.com/office/drawing/2014/main" id="{00000000-0008-0000-0100-00005B000000}"/>
              </a:ext>
            </a:extLst>
          </xdr:cNvPr>
          <xdr:cNvCxnSpPr/>
        </xdr:nvCxnSpPr>
        <xdr:spPr>
          <a:xfrm>
            <a:off x="10906125" y="238125"/>
            <a:ext cx="0" cy="17145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00000000-0008-0000-0100-00005C000000}"/>
              </a:ext>
            </a:extLst>
          </xdr:cNvPr>
          <xdr:cNvCxnSpPr/>
        </xdr:nvCxnSpPr>
        <xdr:spPr>
          <a:xfrm>
            <a:off x="11134725" y="238125"/>
            <a:ext cx="0" cy="17145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16</xdr:col>
      <xdr:colOff>48492</xdr:colOff>
      <xdr:row>2</xdr:row>
      <xdr:rowOff>76200</xdr:rowOff>
    </xdr:from>
    <xdr:to>
      <xdr:col>16</xdr:col>
      <xdr:colOff>353292</xdr:colOff>
      <xdr:row>4</xdr:row>
      <xdr:rowOff>1732</xdr:rowOff>
    </xdr:to>
    <xdr:pic>
      <xdr:nvPicPr>
        <xdr:cNvPr id="94" name="Graphic 93" descr="Flip calendar outline">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27" cstate="print">
          <a:lum bright="70000" contrast="-70000"/>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9587347" y="436418"/>
          <a:ext cx="304800" cy="304800"/>
        </a:xfrm>
        <a:prstGeom prst="rect">
          <a:avLst/>
        </a:prstGeom>
      </xdr:spPr>
    </xdr:pic>
    <xdr:clientData/>
  </xdr:twoCellAnchor>
  <xdr:twoCellAnchor editAs="oneCell">
    <xdr:from>
      <xdr:col>12</xdr:col>
      <xdr:colOff>163854</xdr:colOff>
      <xdr:row>2</xdr:row>
      <xdr:rowOff>73799</xdr:rowOff>
    </xdr:from>
    <xdr:to>
      <xdr:col>12</xdr:col>
      <xdr:colOff>491836</xdr:colOff>
      <xdr:row>4</xdr:row>
      <xdr:rowOff>22513</xdr:rowOff>
    </xdr:to>
    <xdr:pic>
      <xdr:nvPicPr>
        <xdr:cNvPr id="96" name="Graphic 95" descr="Daily calendar outline">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9" cstate="print">
          <a:lum bright="70000" contrast="-70000"/>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7264309" y="434017"/>
          <a:ext cx="327982" cy="327982"/>
        </a:xfrm>
        <a:prstGeom prst="rect">
          <a:avLst/>
        </a:prstGeom>
      </xdr:spPr>
    </xdr:pic>
    <xdr:clientData/>
  </xdr:twoCellAnchor>
  <xdr:twoCellAnchor>
    <xdr:from>
      <xdr:col>14</xdr:col>
      <xdr:colOff>477981</xdr:colOff>
      <xdr:row>2</xdr:row>
      <xdr:rowOff>110837</xdr:rowOff>
    </xdr:from>
    <xdr:to>
      <xdr:col>16</xdr:col>
      <xdr:colOff>27709</xdr:colOff>
      <xdr:row>3</xdr:row>
      <xdr:rowOff>173182</xdr:rowOff>
    </xdr:to>
    <xdr:sp macro="" textlink="Analysis!E4">
      <xdr:nvSpPr>
        <xdr:cNvPr id="104" name="TextBox 103">
          <a:extLst>
            <a:ext uri="{FF2B5EF4-FFF2-40B4-BE49-F238E27FC236}">
              <a16:creationId xmlns:a16="http://schemas.microsoft.com/office/drawing/2014/main" id="{00000000-0008-0000-0100-000068000000}"/>
            </a:ext>
          </a:extLst>
        </xdr:cNvPr>
        <xdr:cNvSpPr txBox="1"/>
      </xdr:nvSpPr>
      <xdr:spPr>
        <a:xfrm>
          <a:off x="8797636" y="471055"/>
          <a:ext cx="768928" cy="2424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CD79C21-60E7-4F07-9336-F2BAD43AB5D5}" type="TxLink">
            <a:rPr lang="en-US" sz="1100" b="0" i="0" u="none" strike="noStrike">
              <a:solidFill>
                <a:schemeClr val="bg1"/>
              </a:solidFill>
              <a:latin typeface="Calibri"/>
              <a:ea typeface="Calibri"/>
              <a:cs typeface="Calibri"/>
            </a:rPr>
            <a:pPr/>
            <a:t>1-4-21</a:t>
          </a:fld>
          <a:endParaRPr lang="en-US" sz="1100">
            <a:solidFill>
              <a:schemeClr val="bg1"/>
            </a:solidFill>
          </a:endParaRPr>
        </a:p>
      </xdr:txBody>
    </xdr:sp>
    <xdr:clientData/>
  </xdr:twoCellAnchor>
  <xdr:twoCellAnchor>
    <xdr:from>
      <xdr:col>18</xdr:col>
      <xdr:colOff>339435</xdr:colOff>
      <xdr:row>2</xdr:row>
      <xdr:rowOff>103909</xdr:rowOff>
    </xdr:from>
    <xdr:to>
      <xdr:col>19</xdr:col>
      <xdr:colOff>464126</xdr:colOff>
      <xdr:row>3</xdr:row>
      <xdr:rowOff>152400</xdr:rowOff>
    </xdr:to>
    <xdr:sp macro="" textlink="Analysis!E5">
      <xdr:nvSpPr>
        <xdr:cNvPr id="110" name="TextBox 109">
          <a:extLst>
            <a:ext uri="{FF2B5EF4-FFF2-40B4-BE49-F238E27FC236}">
              <a16:creationId xmlns:a16="http://schemas.microsoft.com/office/drawing/2014/main" id="{00000000-0008-0000-0100-00006E000000}"/>
            </a:ext>
          </a:extLst>
        </xdr:cNvPr>
        <xdr:cNvSpPr txBox="1"/>
      </xdr:nvSpPr>
      <xdr:spPr>
        <a:xfrm>
          <a:off x="11097490" y="464127"/>
          <a:ext cx="734291"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8EEC801-491C-4134-9C64-6EADF8422AAB}" type="TxLink">
            <a:rPr lang="en-US" sz="1100" b="0" i="0" u="none" strike="noStrike">
              <a:solidFill>
                <a:schemeClr val="bg1"/>
              </a:solidFill>
              <a:latin typeface="Calibri"/>
              <a:ea typeface="Calibri"/>
              <a:cs typeface="Calibri"/>
            </a:rPr>
            <a:pPr/>
            <a:t>10-31-21</a:t>
          </a:fld>
          <a:endParaRPr lang="en-US" sz="1100">
            <a:solidFill>
              <a:schemeClr val="bg1"/>
            </a:solidFill>
          </a:endParaRPr>
        </a:p>
      </xdr:txBody>
    </xdr:sp>
    <xdr:clientData/>
  </xdr:twoCellAnchor>
  <xdr:twoCellAnchor editAs="oneCell">
    <xdr:from>
      <xdr:col>1</xdr:col>
      <xdr:colOff>281246</xdr:colOff>
      <xdr:row>1</xdr:row>
      <xdr:rowOff>145472</xdr:rowOff>
    </xdr:from>
    <xdr:to>
      <xdr:col>2</xdr:col>
      <xdr:colOff>115947</xdr:colOff>
      <xdr:row>4</xdr:row>
      <xdr:rowOff>50915</xdr:rowOff>
    </xdr:to>
    <xdr:pic>
      <xdr:nvPicPr>
        <xdr:cNvPr id="112" name="Graphic 111" descr="House">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1" cstate="print">
          <a:biLevel thresh="25000"/>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676101" y="325581"/>
          <a:ext cx="444301" cy="429491"/>
        </a:xfrm>
        <a:prstGeom prst="rect">
          <a:avLst/>
        </a:prstGeom>
      </xdr:spPr>
    </xdr:pic>
    <xdr:clientData/>
  </xdr:twoCellAnchor>
  <xdr:twoCellAnchor>
    <xdr:from>
      <xdr:col>14</xdr:col>
      <xdr:colOff>27709</xdr:colOff>
      <xdr:row>25</xdr:row>
      <xdr:rowOff>110835</xdr:rowOff>
    </xdr:from>
    <xdr:to>
      <xdr:col>16</xdr:col>
      <xdr:colOff>367145</xdr:colOff>
      <xdr:row>26</xdr:row>
      <xdr:rowOff>159327</xdr:rowOff>
    </xdr:to>
    <xdr:sp macro="" textlink="">
      <xdr:nvSpPr>
        <xdr:cNvPr id="117" name="TextBox 116">
          <a:extLst>
            <a:ext uri="{FF2B5EF4-FFF2-40B4-BE49-F238E27FC236}">
              <a16:creationId xmlns:a16="http://schemas.microsoft.com/office/drawing/2014/main" id="{00000000-0008-0000-0100-000075000000}"/>
            </a:ext>
          </a:extLst>
        </xdr:cNvPr>
        <xdr:cNvSpPr txBox="1"/>
      </xdr:nvSpPr>
      <xdr:spPr>
        <a:xfrm>
          <a:off x="8347364" y="4613562"/>
          <a:ext cx="1558636"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bg1"/>
              </a:solidFill>
            </a:rPr>
            <a:t>Top 5 Expenses Out-Flow</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nit Karmakar" refreshedDate="45491.037972916667" createdVersion="8" refreshedVersion="8" minRefreshableVersion="3" recordCount="486" xr:uid="{148A2F8B-081D-4C2D-A2C4-45FDC8D85A86}">
  <cacheSource type="worksheet">
    <worksheetSource name="Table1"/>
  </cacheSource>
  <cacheFields count="11">
    <cacheField name="Date" numFmtId="164">
      <sharedItems containsSemiMixedTypes="0" containsNonDate="0" containsDate="1" containsString="0" minDate="2021-01-04T00:00:00" maxDate="2021-11-01T00:00:00"/>
    </cacheField>
    <cacheField name="Description" numFmtId="0">
      <sharedItems/>
    </cacheField>
    <cacheField name="Debit" numFmtId="0">
      <sharedItems containsString="0" containsBlank="1" containsNumber="1" minValue="5" maxValue="900"/>
    </cacheField>
    <cacheField name="Credit" numFmtId="0">
      <sharedItems containsString="0" containsBlank="1" containsNumber="1" containsInteger="1" minValue="100" maxValue="5000"/>
    </cacheField>
    <cacheField name="Sub-category" numFmtId="0">
      <sharedItems count="18">
        <s v="Data with Decision"/>
        <s v="Coffee"/>
        <s v="Rent"/>
        <s v="Cash loan"/>
        <s v="Groceries"/>
        <s v="Gas/Electrics"/>
        <s v="Entertainment"/>
        <s v="Clothes"/>
        <s v="Restaurant"/>
        <s v="Taxi"/>
        <s v="YouTube"/>
        <s v="Teachable"/>
        <s v="Phone"/>
        <s v="Gifts"/>
        <s v="Donation"/>
        <s v="Fueling"/>
        <s v="Doctor"/>
        <s v="Furnishings"/>
      </sharedItems>
    </cacheField>
    <cacheField name="Category" numFmtId="0">
      <sharedItems count="8">
        <s v="Salary"/>
        <s v="Dining Out"/>
        <s v="Living Expenses"/>
        <s v="Transport"/>
        <s v="Discretionary"/>
        <s v="Passive"/>
        <s v="Charity"/>
        <s v="Medical"/>
      </sharedItems>
    </cacheField>
    <cacheField name="Category Type" numFmtId="0">
      <sharedItems count="2">
        <s v="Income"/>
        <s v="Expense"/>
      </sharedItems>
    </cacheField>
    <cacheField name="Month Number" numFmtId="0">
      <sharedItems containsSemiMixedTypes="0" containsString="0" containsNumber="1" containsInteger="1" minValue="1" maxValue="10" count="10">
        <n v="1"/>
        <n v="2"/>
        <n v="3"/>
        <n v="4"/>
        <n v="5"/>
        <n v="6"/>
        <n v="7"/>
        <n v="8"/>
        <n v="9"/>
        <n v="10"/>
      </sharedItems>
    </cacheField>
    <cacheField name="Weekday" numFmtId="165">
      <sharedItems containsSemiMixedTypes="0" containsNonDate="0" containsDate="1" containsString="0" minDate="1899-12-31T00:00:00" maxDate="1900-01-07T00:00:00" count="7">
        <d v="1900-01-01T00:00:00"/>
        <d v="1900-01-02T00:00:00"/>
        <d v="1900-01-03T00:00:00"/>
        <d v="1900-01-04T00:00:00"/>
        <d v="1900-01-05T00:00:00"/>
        <d v="1900-01-06T00:00:00"/>
        <d v="1899-12-31T00:00:00"/>
      </sharedItems>
    </cacheField>
    <cacheField name="Amount" numFmtId="0">
      <sharedItems containsSemiMixedTypes="0" containsString="0" containsNumber="1" minValue="-900" maxValue="5000"/>
    </cacheField>
    <cacheField name="Month Name" numFmtId="167">
      <sharedItems count="10">
        <s v="Jan"/>
        <s v="Feb"/>
        <s v="Mar"/>
        <s v="Apr"/>
        <s v="May"/>
        <s v="Jun"/>
        <s v="Jul"/>
        <s v="Aug"/>
        <s v="Sep"/>
        <s v="Oct"/>
      </sharedItems>
    </cacheField>
  </cacheFields>
  <extLst>
    <ext xmlns:x14="http://schemas.microsoft.com/office/spreadsheetml/2009/9/main" uri="{725AE2AE-9491-48be-B2B4-4EB974FC3084}">
      <x14:pivotCacheDefinition pivotCacheId="187971363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6">
  <r>
    <d v="2021-01-04T00:00:00"/>
    <s v="Data With Decision"/>
    <m/>
    <n v="5000"/>
    <x v="0"/>
    <x v="0"/>
    <x v="0"/>
    <x v="0"/>
    <x v="0"/>
    <n v="5000"/>
    <x v="0"/>
  </r>
  <r>
    <d v="2021-01-04T00:00:00"/>
    <s v="Drink"/>
    <n v="5"/>
    <m/>
    <x v="1"/>
    <x v="1"/>
    <x v="1"/>
    <x v="0"/>
    <x v="0"/>
    <n v="-5"/>
    <x v="0"/>
  </r>
  <r>
    <d v="2021-01-05T00:00:00"/>
    <s v="Estate Mangement"/>
    <n v="900"/>
    <m/>
    <x v="2"/>
    <x v="2"/>
    <x v="1"/>
    <x v="0"/>
    <x v="1"/>
    <n v="-900"/>
    <x v="0"/>
  </r>
  <r>
    <d v="2021-01-05T00:00:00"/>
    <s v="Financail upgrade"/>
    <n v="150"/>
    <m/>
    <x v="3"/>
    <x v="3"/>
    <x v="1"/>
    <x v="0"/>
    <x v="1"/>
    <n v="-150"/>
    <x v="0"/>
  </r>
  <r>
    <d v="2021-01-05T00:00:00"/>
    <s v="Drink"/>
    <n v="5"/>
    <m/>
    <x v="1"/>
    <x v="1"/>
    <x v="1"/>
    <x v="0"/>
    <x v="1"/>
    <n v="-5"/>
    <x v="0"/>
  </r>
  <r>
    <d v="2021-01-06T00:00:00"/>
    <s v="Drink"/>
    <n v="5"/>
    <m/>
    <x v="1"/>
    <x v="1"/>
    <x v="1"/>
    <x v="0"/>
    <x v="2"/>
    <n v="-5"/>
    <x v="0"/>
  </r>
  <r>
    <d v="2021-01-07T00:00:00"/>
    <s v="Drink"/>
    <n v="5"/>
    <m/>
    <x v="1"/>
    <x v="1"/>
    <x v="1"/>
    <x v="0"/>
    <x v="3"/>
    <n v="-5"/>
    <x v="0"/>
  </r>
  <r>
    <d v="2021-01-08T00:00:00"/>
    <s v="Drink"/>
    <n v="5"/>
    <m/>
    <x v="1"/>
    <x v="1"/>
    <x v="1"/>
    <x v="0"/>
    <x v="4"/>
    <n v="-5"/>
    <x v="0"/>
  </r>
  <r>
    <d v="2021-01-08T00:00:00"/>
    <s v="Green's"/>
    <n v="155"/>
    <m/>
    <x v="4"/>
    <x v="2"/>
    <x v="1"/>
    <x v="0"/>
    <x v="4"/>
    <n v="-155"/>
    <x v="0"/>
  </r>
  <r>
    <d v="2021-01-11T00:00:00"/>
    <s v="Power source"/>
    <n v="50"/>
    <m/>
    <x v="5"/>
    <x v="2"/>
    <x v="1"/>
    <x v="0"/>
    <x v="0"/>
    <n v="-50"/>
    <x v="0"/>
  </r>
  <r>
    <d v="2021-01-11T00:00:00"/>
    <s v="Drink"/>
    <n v="5"/>
    <m/>
    <x v="1"/>
    <x v="1"/>
    <x v="1"/>
    <x v="0"/>
    <x v="0"/>
    <n v="-5"/>
    <x v="0"/>
  </r>
  <r>
    <d v="2021-01-12T00:00:00"/>
    <s v="Drink"/>
    <n v="5"/>
    <m/>
    <x v="1"/>
    <x v="1"/>
    <x v="1"/>
    <x v="0"/>
    <x v="1"/>
    <n v="-5"/>
    <x v="0"/>
  </r>
  <r>
    <d v="2021-01-13T00:00:00"/>
    <s v="Fuel"/>
    <n v="77"/>
    <m/>
    <x v="1"/>
    <x v="1"/>
    <x v="1"/>
    <x v="0"/>
    <x v="2"/>
    <n v="-77"/>
    <x v="0"/>
  </r>
  <r>
    <d v="2021-01-13T00:00:00"/>
    <s v="Drink"/>
    <n v="5"/>
    <m/>
    <x v="1"/>
    <x v="1"/>
    <x v="1"/>
    <x v="0"/>
    <x v="2"/>
    <n v="-5"/>
    <x v="0"/>
  </r>
  <r>
    <d v="2021-01-14T00:00:00"/>
    <s v="Drink"/>
    <n v="5"/>
    <m/>
    <x v="1"/>
    <x v="1"/>
    <x v="1"/>
    <x v="0"/>
    <x v="3"/>
    <n v="-5"/>
    <x v="0"/>
  </r>
  <r>
    <d v="2021-01-15T00:00:00"/>
    <s v="Green's"/>
    <n v="135"/>
    <m/>
    <x v="4"/>
    <x v="2"/>
    <x v="1"/>
    <x v="0"/>
    <x v="4"/>
    <n v="-135"/>
    <x v="0"/>
  </r>
  <r>
    <d v="2021-01-15T00:00:00"/>
    <s v="Drink"/>
    <n v="5"/>
    <m/>
    <x v="1"/>
    <x v="1"/>
    <x v="1"/>
    <x v="0"/>
    <x v="4"/>
    <n v="-5"/>
    <x v="0"/>
  </r>
  <r>
    <d v="2021-01-16T00:00:00"/>
    <s v="Drink"/>
    <n v="5"/>
    <m/>
    <x v="1"/>
    <x v="1"/>
    <x v="1"/>
    <x v="0"/>
    <x v="5"/>
    <n v="-5"/>
    <x v="0"/>
  </r>
  <r>
    <d v="2021-01-16T00:00:00"/>
    <s v="Cinemas"/>
    <n v="40"/>
    <m/>
    <x v="6"/>
    <x v="4"/>
    <x v="1"/>
    <x v="0"/>
    <x v="5"/>
    <n v="-40"/>
    <x v="0"/>
  </r>
  <r>
    <d v="2021-01-16T00:00:00"/>
    <s v="Fashionistas"/>
    <n v="98"/>
    <m/>
    <x v="7"/>
    <x v="4"/>
    <x v="1"/>
    <x v="0"/>
    <x v="5"/>
    <n v="-98"/>
    <x v="0"/>
  </r>
  <r>
    <d v="2021-01-16T00:00:00"/>
    <s v="Burger"/>
    <n v="52"/>
    <m/>
    <x v="8"/>
    <x v="1"/>
    <x v="1"/>
    <x v="0"/>
    <x v="5"/>
    <n v="-52"/>
    <x v="0"/>
  </r>
  <r>
    <d v="2021-01-17T00:00:00"/>
    <s v="Uba"/>
    <n v="28"/>
    <m/>
    <x v="9"/>
    <x v="3"/>
    <x v="1"/>
    <x v="0"/>
    <x v="6"/>
    <n v="-28"/>
    <x v="0"/>
  </r>
  <r>
    <d v="2021-01-18T00:00:00"/>
    <s v="Onlne earning"/>
    <m/>
    <n v="4500"/>
    <x v="10"/>
    <x v="5"/>
    <x v="0"/>
    <x v="0"/>
    <x v="0"/>
    <n v="4500"/>
    <x v="0"/>
  </r>
  <r>
    <d v="2021-01-18T00:00:00"/>
    <s v="Drink"/>
    <n v="5"/>
    <m/>
    <x v="1"/>
    <x v="1"/>
    <x v="1"/>
    <x v="0"/>
    <x v="0"/>
    <n v="-5"/>
    <x v="0"/>
  </r>
  <r>
    <d v="2021-01-19T00:00:00"/>
    <s v="Drink"/>
    <n v="5"/>
    <m/>
    <x v="1"/>
    <x v="1"/>
    <x v="1"/>
    <x v="0"/>
    <x v="1"/>
    <n v="-5"/>
    <x v="0"/>
  </r>
  <r>
    <d v="2021-01-19T00:00:00"/>
    <s v="Onlne earning"/>
    <m/>
    <n v="4500"/>
    <x v="11"/>
    <x v="5"/>
    <x v="0"/>
    <x v="0"/>
    <x v="1"/>
    <n v="4500"/>
    <x v="0"/>
  </r>
  <r>
    <d v="2021-01-19T00:00:00"/>
    <s v="Phone"/>
    <n v="40"/>
    <m/>
    <x v="12"/>
    <x v="2"/>
    <x v="1"/>
    <x v="0"/>
    <x v="1"/>
    <n v="-40"/>
    <x v="0"/>
  </r>
  <r>
    <d v="2021-01-20T00:00:00"/>
    <s v="Sallah give away"/>
    <n v="45"/>
    <m/>
    <x v="13"/>
    <x v="4"/>
    <x v="1"/>
    <x v="0"/>
    <x v="2"/>
    <n v="-45"/>
    <x v="0"/>
  </r>
  <r>
    <d v="2021-01-20T00:00:00"/>
    <s v="Online streaming"/>
    <n v="32"/>
    <m/>
    <x v="6"/>
    <x v="4"/>
    <x v="1"/>
    <x v="0"/>
    <x v="2"/>
    <n v="-32"/>
    <x v="0"/>
  </r>
  <r>
    <d v="2021-01-20T00:00:00"/>
    <s v="Drink"/>
    <n v="5"/>
    <m/>
    <x v="1"/>
    <x v="1"/>
    <x v="1"/>
    <x v="0"/>
    <x v="2"/>
    <n v="-5"/>
    <x v="0"/>
  </r>
  <r>
    <d v="2021-01-21T00:00:00"/>
    <s v="Drink"/>
    <n v="5"/>
    <m/>
    <x v="1"/>
    <x v="1"/>
    <x v="1"/>
    <x v="0"/>
    <x v="3"/>
    <n v="-5"/>
    <x v="0"/>
  </r>
  <r>
    <d v="2021-01-22T00:00:00"/>
    <s v="Drink"/>
    <n v="5"/>
    <m/>
    <x v="1"/>
    <x v="1"/>
    <x v="1"/>
    <x v="0"/>
    <x v="4"/>
    <n v="-5"/>
    <x v="0"/>
  </r>
  <r>
    <d v="2021-01-22T00:00:00"/>
    <s v="Green's"/>
    <n v="170"/>
    <m/>
    <x v="4"/>
    <x v="2"/>
    <x v="1"/>
    <x v="0"/>
    <x v="4"/>
    <n v="-170"/>
    <x v="0"/>
  </r>
  <r>
    <d v="2021-01-23T00:00:00"/>
    <s v="Suya"/>
    <n v="37"/>
    <m/>
    <x v="8"/>
    <x v="1"/>
    <x v="1"/>
    <x v="0"/>
    <x v="5"/>
    <n v="-37"/>
    <x v="0"/>
  </r>
  <r>
    <d v="2021-01-24T00:00:00"/>
    <s v="Oha soup/White soup"/>
    <n v="12"/>
    <m/>
    <x v="8"/>
    <x v="1"/>
    <x v="1"/>
    <x v="0"/>
    <x v="6"/>
    <n v="-12"/>
    <x v="0"/>
  </r>
  <r>
    <d v="2021-01-25T00:00:00"/>
    <s v="Orphanage"/>
    <n v="55"/>
    <m/>
    <x v="14"/>
    <x v="6"/>
    <x v="1"/>
    <x v="0"/>
    <x v="0"/>
    <n v="-55"/>
    <x v="0"/>
  </r>
  <r>
    <d v="2021-01-25T00:00:00"/>
    <s v="Fuel"/>
    <n v="63"/>
    <m/>
    <x v="15"/>
    <x v="3"/>
    <x v="1"/>
    <x v="0"/>
    <x v="0"/>
    <n v="-63"/>
    <x v="0"/>
  </r>
  <r>
    <d v="2021-01-25T00:00:00"/>
    <s v="Drink"/>
    <n v="5"/>
    <m/>
    <x v="1"/>
    <x v="1"/>
    <x v="1"/>
    <x v="0"/>
    <x v="0"/>
    <n v="-5"/>
    <x v="0"/>
  </r>
  <r>
    <d v="2021-01-26T00:00:00"/>
    <s v="Drink"/>
    <n v="5"/>
    <m/>
    <x v="1"/>
    <x v="1"/>
    <x v="1"/>
    <x v="0"/>
    <x v="1"/>
    <n v="-5"/>
    <x v="0"/>
  </r>
  <r>
    <d v="2021-01-27T00:00:00"/>
    <s v="Drink"/>
    <n v="5"/>
    <m/>
    <x v="1"/>
    <x v="1"/>
    <x v="1"/>
    <x v="0"/>
    <x v="2"/>
    <n v="-5"/>
    <x v="0"/>
  </r>
  <r>
    <d v="2021-01-28T00:00:00"/>
    <s v="Drink"/>
    <n v="5"/>
    <m/>
    <x v="1"/>
    <x v="1"/>
    <x v="1"/>
    <x v="0"/>
    <x v="3"/>
    <n v="-5"/>
    <x v="0"/>
  </r>
  <r>
    <d v="2021-01-29T00:00:00"/>
    <s v="Drink"/>
    <n v="5"/>
    <m/>
    <x v="1"/>
    <x v="1"/>
    <x v="1"/>
    <x v="0"/>
    <x v="4"/>
    <n v="-5"/>
    <x v="0"/>
  </r>
  <r>
    <d v="2021-01-29T00:00:00"/>
    <s v="Green's"/>
    <n v="162"/>
    <m/>
    <x v="4"/>
    <x v="2"/>
    <x v="1"/>
    <x v="0"/>
    <x v="4"/>
    <n v="-162"/>
    <x v="0"/>
  </r>
  <r>
    <d v="2021-01-30T00:00:00"/>
    <s v="Trainers"/>
    <n v="125"/>
    <m/>
    <x v="7"/>
    <x v="4"/>
    <x v="1"/>
    <x v="0"/>
    <x v="5"/>
    <n v="-125"/>
    <x v="0"/>
  </r>
  <r>
    <d v="2021-01-30T00:00:00"/>
    <s v="Hangingout/Ticket"/>
    <n v="175"/>
    <m/>
    <x v="6"/>
    <x v="4"/>
    <x v="1"/>
    <x v="0"/>
    <x v="5"/>
    <n v="-175"/>
    <x v="0"/>
  </r>
  <r>
    <d v="2021-01-31T00:00:00"/>
    <s v="Fashionistas"/>
    <n v="145"/>
    <m/>
    <x v="7"/>
    <x v="4"/>
    <x v="1"/>
    <x v="0"/>
    <x v="6"/>
    <n v="-145"/>
    <x v="0"/>
  </r>
  <r>
    <d v="2021-01-31T00:00:00"/>
    <s v="Uba"/>
    <n v="23"/>
    <m/>
    <x v="9"/>
    <x v="3"/>
    <x v="1"/>
    <x v="0"/>
    <x v="6"/>
    <n v="-23"/>
    <x v="0"/>
  </r>
  <r>
    <d v="2021-02-01T00:00:00"/>
    <s v="Data With Decision"/>
    <m/>
    <n v="5000"/>
    <x v="0"/>
    <x v="0"/>
    <x v="0"/>
    <x v="1"/>
    <x v="0"/>
    <n v="5000"/>
    <x v="1"/>
  </r>
  <r>
    <d v="2021-02-01T00:00:00"/>
    <s v="Drink"/>
    <n v="5"/>
    <m/>
    <x v="1"/>
    <x v="1"/>
    <x v="1"/>
    <x v="1"/>
    <x v="0"/>
    <n v="-5"/>
    <x v="1"/>
  </r>
  <r>
    <d v="2021-02-02T00:00:00"/>
    <s v="Estate Mangement"/>
    <n v="900"/>
    <m/>
    <x v="2"/>
    <x v="2"/>
    <x v="1"/>
    <x v="1"/>
    <x v="1"/>
    <n v="-900"/>
    <x v="1"/>
  </r>
  <r>
    <d v="2021-02-02T00:00:00"/>
    <s v="Financail upgrade"/>
    <n v="150"/>
    <m/>
    <x v="3"/>
    <x v="3"/>
    <x v="1"/>
    <x v="1"/>
    <x v="1"/>
    <n v="-150"/>
    <x v="1"/>
  </r>
  <r>
    <d v="2021-02-02T00:00:00"/>
    <s v="Drink"/>
    <n v="5"/>
    <m/>
    <x v="1"/>
    <x v="1"/>
    <x v="1"/>
    <x v="1"/>
    <x v="1"/>
    <n v="-5"/>
    <x v="1"/>
  </r>
  <r>
    <d v="2021-02-03T00:00:00"/>
    <s v="Drink"/>
    <n v="5"/>
    <m/>
    <x v="1"/>
    <x v="1"/>
    <x v="1"/>
    <x v="1"/>
    <x v="2"/>
    <n v="-5"/>
    <x v="1"/>
  </r>
  <r>
    <d v="2021-02-04T00:00:00"/>
    <s v="Drink"/>
    <n v="5"/>
    <m/>
    <x v="1"/>
    <x v="1"/>
    <x v="1"/>
    <x v="1"/>
    <x v="3"/>
    <n v="-5"/>
    <x v="1"/>
  </r>
  <r>
    <d v="2021-02-05T00:00:00"/>
    <s v="Drink"/>
    <n v="5"/>
    <m/>
    <x v="1"/>
    <x v="1"/>
    <x v="1"/>
    <x v="1"/>
    <x v="4"/>
    <n v="-5"/>
    <x v="1"/>
  </r>
  <r>
    <d v="2021-02-05T00:00:00"/>
    <s v="Green's"/>
    <n v="205"/>
    <m/>
    <x v="4"/>
    <x v="2"/>
    <x v="1"/>
    <x v="1"/>
    <x v="4"/>
    <n v="-205"/>
    <x v="1"/>
  </r>
  <r>
    <d v="2021-02-08T00:00:00"/>
    <s v="Power source"/>
    <n v="51.1"/>
    <m/>
    <x v="5"/>
    <x v="2"/>
    <x v="1"/>
    <x v="1"/>
    <x v="0"/>
    <n v="-51.1"/>
    <x v="1"/>
  </r>
  <r>
    <d v="2021-02-08T00:00:00"/>
    <s v="Drink"/>
    <n v="5"/>
    <m/>
    <x v="1"/>
    <x v="1"/>
    <x v="1"/>
    <x v="1"/>
    <x v="0"/>
    <n v="-5"/>
    <x v="1"/>
  </r>
  <r>
    <d v="2021-02-09T00:00:00"/>
    <s v="Drink"/>
    <n v="5"/>
    <m/>
    <x v="1"/>
    <x v="1"/>
    <x v="1"/>
    <x v="1"/>
    <x v="1"/>
    <n v="-5"/>
    <x v="1"/>
  </r>
  <r>
    <d v="2021-02-10T00:00:00"/>
    <s v="Fuel"/>
    <n v="78"/>
    <m/>
    <x v="15"/>
    <x v="3"/>
    <x v="1"/>
    <x v="1"/>
    <x v="2"/>
    <n v="-78"/>
    <x v="1"/>
  </r>
  <r>
    <d v="2021-02-10T00:00:00"/>
    <s v="Drink"/>
    <n v="5"/>
    <m/>
    <x v="1"/>
    <x v="1"/>
    <x v="1"/>
    <x v="1"/>
    <x v="2"/>
    <n v="-5"/>
    <x v="1"/>
  </r>
  <r>
    <d v="2021-02-11T00:00:00"/>
    <s v="Drink"/>
    <n v="5"/>
    <m/>
    <x v="1"/>
    <x v="1"/>
    <x v="1"/>
    <x v="1"/>
    <x v="3"/>
    <n v="-5"/>
    <x v="1"/>
  </r>
  <r>
    <d v="2021-02-12T00:00:00"/>
    <s v="Green's"/>
    <n v="135.9"/>
    <m/>
    <x v="4"/>
    <x v="2"/>
    <x v="1"/>
    <x v="1"/>
    <x v="4"/>
    <n v="-135.9"/>
    <x v="1"/>
  </r>
  <r>
    <d v="2021-02-12T00:00:00"/>
    <s v="Drink"/>
    <n v="5"/>
    <m/>
    <x v="1"/>
    <x v="1"/>
    <x v="1"/>
    <x v="1"/>
    <x v="4"/>
    <n v="-5"/>
    <x v="1"/>
  </r>
  <r>
    <d v="2021-02-13T00:00:00"/>
    <s v="Drink"/>
    <n v="5"/>
    <m/>
    <x v="1"/>
    <x v="1"/>
    <x v="1"/>
    <x v="1"/>
    <x v="5"/>
    <n v="-5"/>
    <x v="1"/>
  </r>
  <r>
    <d v="2021-02-13T00:00:00"/>
    <s v="Cinemas"/>
    <n v="40.9"/>
    <m/>
    <x v="6"/>
    <x v="4"/>
    <x v="1"/>
    <x v="1"/>
    <x v="5"/>
    <n v="-40.9"/>
    <x v="1"/>
  </r>
  <r>
    <d v="2021-02-13T00:00:00"/>
    <s v="Fashionistas"/>
    <n v="99"/>
    <m/>
    <x v="7"/>
    <x v="4"/>
    <x v="1"/>
    <x v="1"/>
    <x v="5"/>
    <n v="-99"/>
    <x v="1"/>
  </r>
  <r>
    <d v="2021-02-13T00:00:00"/>
    <s v="Burger"/>
    <n v="53"/>
    <m/>
    <x v="8"/>
    <x v="1"/>
    <x v="1"/>
    <x v="1"/>
    <x v="5"/>
    <n v="-53"/>
    <x v="1"/>
  </r>
  <r>
    <d v="2021-02-14T00:00:00"/>
    <s v="Uba"/>
    <n v="28.9"/>
    <m/>
    <x v="9"/>
    <x v="3"/>
    <x v="1"/>
    <x v="1"/>
    <x v="6"/>
    <n v="-28.9"/>
    <x v="1"/>
  </r>
  <r>
    <d v="2021-02-15T00:00:00"/>
    <s v="Onlne earning"/>
    <m/>
    <n v="800"/>
    <x v="10"/>
    <x v="5"/>
    <x v="0"/>
    <x v="1"/>
    <x v="0"/>
    <n v="800"/>
    <x v="1"/>
  </r>
  <r>
    <d v="2021-02-15T00:00:00"/>
    <s v="Drink"/>
    <n v="5"/>
    <m/>
    <x v="1"/>
    <x v="1"/>
    <x v="1"/>
    <x v="1"/>
    <x v="0"/>
    <n v="-5"/>
    <x v="1"/>
  </r>
  <r>
    <d v="2021-02-16T00:00:00"/>
    <s v="Drink"/>
    <n v="5"/>
    <m/>
    <x v="1"/>
    <x v="1"/>
    <x v="1"/>
    <x v="1"/>
    <x v="1"/>
    <n v="-5"/>
    <x v="1"/>
  </r>
  <r>
    <d v="2021-02-16T00:00:00"/>
    <s v="Phone"/>
    <n v="40"/>
    <m/>
    <x v="12"/>
    <x v="2"/>
    <x v="1"/>
    <x v="1"/>
    <x v="1"/>
    <n v="-40"/>
    <x v="1"/>
  </r>
  <r>
    <d v="2021-02-17T00:00:00"/>
    <s v="Sallah give away"/>
    <n v="45.9"/>
    <m/>
    <x v="13"/>
    <x v="4"/>
    <x v="1"/>
    <x v="1"/>
    <x v="2"/>
    <n v="-45.9"/>
    <x v="1"/>
  </r>
  <r>
    <d v="2021-02-17T00:00:00"/>
    <s v="Online streaming"/>
    <n v="35"/>
    <m/>
    <x v="6"/>
    <x v="4"/>
    <x v="1"/>
    <x v="1"/>
    <x v="2"/>
    <n v="-35"/>
    <x v="1"/>
  </r>
  <r>
    <d v="2021-02-17T00:00:00"/>
    <s v="Drink"/>
    <n v="5"/>
    <m/>
    <x v="1"/>
    <x v="1"/>
    <x v="1"/>
    <x v="1"/>
    <x v="2"/>
    <n v="-5"/>
    <x v="1"/>
  </r>
  <r>
    <d v="2021-02-18T00:00:00"/>
    <s v="Drink"/>
    <n v="5"/>
    <m/>
    <x v="1"/>
    <x v="1"/>
    <x v="1"/>
    <x v="1"/>
    <x v="3"/>
    <n v="-5"/>
    <x v="1"/>
  </r>
  <r>
    <d v="2021-02-19T00:00:00"/>
    <s v="Drink"/>
    <n v="5"/>
    <m/>
    <x v="1"/>
    <x v="1"/>
    <x v="1"/>
    <x v="1"/>
    <x v="4"/>
    <n v="-5"/>
    <x v="1"/>
  </r>
  <r>
    <d v="2021-02-19T00:00:00"/>
    <s v="Green's"/>
    <n v="171"/>
    <m/>
    <x v="4"/>
    <x v="2"/>
    <x v="1"/>
    <x v="1"/>
    <x v="4"/>
    <n v="-171"/>
    <x v="1"/>
  </r>
  <r>
    <d v="2021-02-20T00:00:00"/>
    <s v="Suya"/>
    <n v="37.9"/>
    <m/>
    <x v="8"/>
    <x v="1"/>
    <x v="1"/>
    <x v="1"/>
    <x v="5"/>
    <n v="-37.9"/>
    <x v="1"/>
  </r>
  <r>
    <d v="2021-02-21T00:00:00"/>
    <s v="Oha soup/White soup"/>
    <n v="12.9"/>
    <m/>
    <x v="8"/>
    <x v="1"/>
    <x v="1"/>
    <x v="1"/>
    <x v="6"/>
    <n v="-12.9"/>
    <x v="1"/>
  </r>
  <r>
    <d v="2021-02-22T00:00:00"/>
    <s v="Orphanage"/>
    <n v="55"/>
    <m/>
    <x v="14"/>
    <x v="6"/>
    <x v="1"/>
    <x v="1"/>
    <x v="0"/>
    <n v="-55"/>
    <x v="1"/>
  </r>
  <r>
    <d v="2021-02-22T00:00:00"/>
    <s v="Fuel"/>
    <n v="64.099999999999994"/>
    <m/>
    <x v="15"/>
    <x v="3"/>
    <x v="1"/>
    <x v="1"/>
    <x v="0"/>
    <n v="-64.099999999999994"/>
    <x v="1"/>
  </r>
  <r>
    <d v="2021-02-22T00:00:00"/>
    <s v="Drink"/>
    <n v="5"/>
    <m/>
    <x v="1"/>
    <x v="1"/>
    <x v="1"/>
    <x v="1"/>
    <x v="0"/>
    <n v="-5"/>
    <x v="1"/>
  </r>
  <r>
    <d v="2021-02-23T00:00:00"/>
    <s v="Drink"/>
    <n v="5"/>
    <m/>
    <x v="1"/>
    <x v="1"/>
    <x v="1"/>
    <x v="1"/>
    <x v="1"/>
    <n v="-5"/>
    <x v="1"/>
  </r>
  <r>
    <d v="2021-02-24T00:00:00"/>
    <s v="Drink"/>
    <n v="5"/>
    <m/>
    <x v="1"/>
    <x v="1"/>
    <x v="1"/>
    <x v="1"/>
    <x v="2"/>
    <n v="-5"/>
    <x v="1"/>
  </r>
  <r>
    <d v="2021-02-25T00:00:00"/>
    <s v="Drink"/>
    <n v="5"/>
    <m/>
    <x v="1"/>
    <x v="1"/>
    <x v="1"/>
    <x v="1"/>
    <x v="3"/>
    <n v="-5"/>
    <x v="1"/>
  </r>
  <r>
    <d v="2021-02-26T00:00:00"/>
    <s v="Drink"/>
    <n v="5"/>
    <m/>
    <x v="1"/>
    <x v="1"/>
    <x v="1"/>
    <x v="1"/>
    <x v="4"/>
    <n v="-5"/>
    <x v="1"/>
  </r>
  <r>
    <d v="2021-02-26T00:00:00"/>
    <s v="Green's"/>
    <n v="162.9"/>
    <m/>
    <x v="4"/>
    <x v="2"/>
    <x v="1"/>
    <x v="1"/>
    <x v="4"/>
    <n v="-162.9"/>
    <x v="1"/>
  </r>
  <r>
    <d v="2021-02-27T00:00:00"/>
    <s v="Trainers"/>
    <n v="125.9"/>
    <m/>
    <x v="7"/>
    <x v="4"/>
    <x v="1"/>
    <x v="1"/>
    <x v="5"/>
    <n v="-125.9"/>
    <x v="1"/>
  </r>
  <r>
    <d v="2021-02-27T00:00:00"/>
    <s v="Global Fashion"/>
    <n v="137"/>
    <m/>
    <x v="7"/>
    <x v="4"/>
    <x v="1"/>
    <x v="1"/>
    <x v="5"/>
    <n v="-137"/>
    <x v="1"/>
  </r>
  <r>
    <d v="2021-02-28T00:00:00"/>
    <s v="Fashionistas"/>
    <n v="146.1"/>
    <m/>
    <x v="7"/>
    <x v="4"/>
    <x v="1"/>
    <x v="1"/>
    <x v="6"/>
    <n v="-146.1"/>
    <x v="1"/>
  </r>
  <r>
    <d v="2021-02-28T00:00:00"/>
    <s v="Uba"/>
    <n v="24.1"/>
    <m/>
    <x v="9"/>
    <x v="3"/>
    <x v="1"/>
    <x v="1"/>
    <x v="6"/>
    <n v="-24.1"/>
    <x v="1"/>
  </r>
  <r>
    <d v="2021-03-01T00:00:00"/>
    <s v="Data With Decision"/>
    <m/>
    <n v="5000"/>
    <x v="0"/>
    <x v="0"/>
    <x v="0"/>
    <x v="2"/>
    <x v="0"/>
    <n v="5000"/>
    <x v="2"/>
  </r>
  <r>
    <d v="2021-03-01T00:00:00"/>
    <s v="Drink"/>
    <n v="5"/>
    <m/>
    <x v="1"/>
    <x v="1"/>
    <x v="1"/>
    <x v="2"/>
    <x v="0"/>
    <n v="-5"/>
    <x v="2"/>
  </r>
  <r>
    <d v="2021-03-02T00:00:00"/>
    <s v="Estate Mangement"/>
    <n v="900"/>
    <m/>
    <x v="2"/>
    <x v="2"/>
    <x v="1"/>
    <x v="2"/>
    <x v="1"/>
    <n v="-900"/>
    <x v="2"/>
  </r>
  <r>
    <d v="2021-03-02T00:00:00"/>
    <s v="Financail upgrade"/>
    <n v="150"/>
    <m/>
    <x v="3"/>
    <x v="3"/>
    <x v="1"/>
    <x v="2"/>
    <x v="1"/>
    <n v="-150"/>
    <x v="2"/>
  </r>
  <r>
    <d v="2021-03-02T00:00:00"/>
    <s v="Drink"/>
    <n v="5"/>
    <m/>
    <x v="1"/>
    <x v="1"/>
    <x v="1"/>
    <x v="2"/>
    <x v="1"/>
    <n v="-5"/>
    <x v="2"/>
  </r>
  <r>
    <d v="2021-03-03T00:00:00"/>
    <s v="Drink"/>
    <n v="5"/>
    <m/>
    <x v="1"/>
    <x v="1"/>
    <x v="1"/>
    <x v="2"/>
    <x v="2"/>
    <n v="-5"/>
    <x v="2"/>
  </r>
  <r>
    <d v="2021-03-04T00:00:00"/>
    <s v="Drink"/>
    <n v="5"/>
    <m/>
    <x v="1"/>
    <x v="1"/>
    <x v="1"/>
    <x v="2"/>
    <x v="3"/>
    <n v="-5"/>
    <x v="2"/>
  </r>
  <r>
    <d v="2021-03-05T00:00:00"/>
    <s v="Drink"/>
    <n v="5"/>
    <m/>
    <x v="1"/>
    <x v="1"/>
    <x v="1"/>
    <x v="2"/>
    <x v="4"/>
    <n v="-5"/>
    <x v="2"/>
  </r>
  <r>
    <d v="2021-03-05T00:00:00"/>
    <s v="Green's"/>
    <n v="149"/>
    <m/>
    <x v="4"/>
    <x v="2"/>
    <x v="1"/>
    <x v="2"/>
    <x v="4"/>
    <n v="-149"/>
    <x v="2"/>
  </r>
  <r>
    <d v="2021-03-08T00:00:00"/>
    <s v="Power source"/>
    <n v="52.1"/>
    <m/>
    <x v="5"/>
    <x v="2"/>
    <x v="1"/>
    <x v="2"/>
    <x v="0"/>
    <n v="-52.1"/>
    <x v="2"/>
  </r>
  <r>
    <d v="2021-03-08T00:00:00"/>
    <s v="Drink"/>
    <n v="5"/>
    <m/>
    <x v="1"/>
    <x v="1"/>
    <x v="1"/>
    <x v="2"/>
    <x v="0"/>
    <n v="-5"/>
    <x v="2"/>
  </r>
  <r>
    <d v="2021-03-09T00:00:00"/>
    <s v="Drink"/>
    <n v="5"/>
    <m/>
    <x v="1"/>
    <x v="1"/>
    <x v="1"/>
    <x v="2"/>
    <x v="1"/>
    <n v="-5"/>
    <x v="2"/>
  </r>
  <r>
    <d v="2021-03-10T00:00:00"/>
    <s v="Fuel"/>
    <n v="78.900000000000006"/>
    <m/>
    <x v="15"/>
    <x v="3"/>
    <x v="1"/>
    <x v="2"/>
    <x v="2"/>
    <n v="-78.900000000000006"/>
    <x v="2"/>
  </r>
  <r>
    <d v="2021-03-10T00:00:00"/>
    <s v="Drink"/>
    <n v="5"/>
    <m/>
    <x v="1"/>
    <x v="1"/>
    <x v="1"/>
    <x v="2"/>
    <x v="2"/>
    <n v="-5"/>
    <x v="2"/>
  </r>
  <r>
    <d v="2021-03-11T00:00:00"/>
    <s v="Drink"/>
    <n v="5"/>
    <m/>
    <x v="1"/>
    <x v="1"/>
    <x v="1"/>
    <x v="2"/>
    <x v="3"/>
    <n v="-5"/>
    <x v="2"/>
  </r>
  <r>
    <d v="2021-03-12T00:00:00"/>
    <s v="Green's"/>
    <n v="137"/>
    <m/>
    <x v="4"/>
    <x v="2"/>
    <x v="1"/>
    <x v="2"/>
    <x v="4"/>
    <n v="-137"/>
    <x v="2"/>
  </r>
  <r>
    <d v="2021-03-12T00:00:00"/>
    <s v="Drink"/>
    <n v="5"/>
    <m/>
    <x v="1"/>
    <x v="1"/>
    <x v="1"/>
    <x v="2"/>
    <x v="4"/>
    <n v="-5"/>
    <x v="2"/>
  </r>
  <r>
    <d v="2021-03-13T00:00:00"/>
    <s v="Drink"/>
    <n v="5"/>
    <m/>
    <x v="1"/>
    <x v="1"/>
    <x v="1"/>
    <x v="2"/>
    <x v="5"/>
    <n v="-5"/>
    <x v="2"/>
  </r>
  <r>
    <d v="2021-03-13T00:00:00"/>
    <s v="Cinemas"/>
    <n v="41.8"/>
    <m/>
    <x v="6"/>
    <x v="4"/>
    <x v="1"/>
    <x v="2"/>
    <x v="5"/>
    <n v="-41.8"/>
    <x v="2"/>
  </r>
  <r>
    <d v="2021-03-13T00:00:00"/>
    <s v="Fashionistas"/>
    <n v="99.9"/>
    <m/>
    <x v="7"/>
    <x v="4"/>
    <x v="1"/>
    <x v="2"/>
    <x v="5"/>
    <n v="-99.9"/>
    <x v="2"/>
  </r>
  <r>
    <d v="2021-03-13T00:00:00"/>
    <s v="Burger"/>
    <n v="54"/>
    <m/>
    <x v="8"/>
    <x v="1"/>
    <x v="1"/>
    <x v="2"/>
    <x v="5"/>
    <n v="-54"/>
    <x v="2"/>
  </r>
  <r>
    <d v="2021-03-14T00:00:00"/>
    <s v="Uba"/>
    <n v="30"/>
    <m/>
    <x v="9"/>
    <x v="3"/>
    <x v="1"/>
    <x v="2"/>
    <x v="6"/>
    <n v="-30"/>
    <x v="2"/>
  </r>
  <r>
    <d v="2021-03-15T00:00:00"/>
    <s v="Onlne earning"/>
    <m/>
    <n v="1000"/>
    <x v="10"/>
    <x v="5"/>
    <x v="0"/>
    <x v="2"/>
    <x v="0"/>
    <n v="1000"/>
    <x v="2"/>
  </r>
  <r>
    <d v="2021-03-15T00:00:00"/>
    <s v="Drink"/>
    <n v="5"/>
    <m/>
    <x v="1"/>
    <x v="1"/>
    <x v="1"/>
    <x v="2"/>
    <x v="0"/>
    <n v="-5"/>
    <x v="2"/>
  </r>
  <r>
    <d v="2021-03-16T00:00:00"/>
    <s v="Drink"/>
    <n v="5"/>
    <m/>
    <x v="1"/>
    <x v="1"/>
    <x v="1"/>
    <x v="2"/>
    <x v="1"/>
    <n v="-5"/>
    <x v="2"/>
  </r>
  <r>
    <d v="2021-03-16T00:00:00"/>
    <s v="Taken medication"/>
    <n v="75"/>
    <m/>
    <x v="16"/>
    <x v="7"/>
    <x v="1"/>
    <x v="2"/>
    <x v="1"/>
    <n v="-75"/>
    <x v="2"/>
  </r>
  <r>
    <d v="2021-03-16T00:00:00"/>
    <s v="Phone"/>
    <n v="40"/>
    <m/>
    <x v="12"/>
    <x v="2"/>
    <x v="1"/>
    <x v="2"/>
    <x v="1"/>
    <n v="-40"/>
    <x v="2"/>
  </r>
  <r>
    <d v="2021-03-17T00:00:00"/>
    <s v="Sallah give away"/>
    <n v="46.8"/>
    <m/>
    <x v="13"/>
    <x v="4"/>
    <x v="1"/>
    <x v="2"/>
    <x v="2"/>
    <n v="-46.8"/>
    <x v="2"/>
  </r>
  <r>
    <d v="2021-03-17T00:00:00"/>
    <s v="Online streaming"/>
    <n v="35"/>
    <m/>
    <x v="6"/>
    <x v="4"/>
    <x v="1"/>
    <x v="2"/>
    <x v="2"/>
    <n v="-35"/>
    <x v="2"/>
  </r>
  <r>
    <d v="2021-03-17T00:00:00"/>
    <s v="Drink"/>
    <n v="5"/>
    <m/>
    <x v="1"/>
    <x v="1"/>
    <x v="1"/>
    <x v="2"/>
    <x v="2"/>
    <n v="-5"/>
    <x v="2"/>
  </r>
  <r>
    <d v="2021-03-18T00:00:00"/>
    <s v="Drink"/>
    <n v="5"/>
    <m/>
    <x v="1"/>
    <x v="1"/>
    <x v="1"/>
    <x v="2"/>
    <x v="3"/>
    <n v="-5"/>
    <x v="2"/>
  </r>
  <r>
    <d v="2021-03-19T00:00:00"/>
    <s v="Drink"/>
    <n v="5"/>
    <m/>
    <x v="1"/>
    <x v="1"/>
    <x v="1"/>
    <x v="2"/>
    <x v="4"/>
    <n v="-5"/>
    <x v="2"/>
  </r>
  <r>
    <d v="2021-03-19T00:00:00"/>
    <s v="Green's"/>
    <n v="171.9"/>
    <m/>
    <x v="4"/>
    <x v="2"/>
    <x v="1"/>
    <x v="2"/>
    <x v="4"/>
    <n v="-171.9"/>
    <x v="2"/>
  </r>
  <r>
    <d v="2021-03-20T00:00:00"/>
    <s v="Suya"/>
    <n v="39"/>
    <m/>
    <x v="8"/>
    <x v="1"/>
    <x v="1"/>
    <x v="2"/>
    <x v="5"/>
    <n v="-39"/>
    <x v="2"/>
  </r>
  <r>
    <d v="2021-03-21T00:00:00"/>
    <s v="Oha soup/White soup"/>
    <n v="14"/>
    <m/>
    <x v="8"/>
    <x v="1"/>
    <x v="1"/>
    <x v="2"/>
    <x v="6"/>
    <n v="-14"/>
    <x v="2"/>
  </r>
  <r>
    <d v="2021-03-22T00:00:00"/>
    <s v="Orphanage"/>
    <n v="55"/>
    <m/>
    <x v="14"/>
    <x v="6"/>
    <x v="1"/>
    <x v="2"/>
    <x v="0"/>
    <n v="-55"/>
    <x v="2"/>
  </r>
  <r>
    <d v="2021-03-22T00:00:00"/>
    <s v="Fuel"/>
    <n v="65"/>
    <m/>
    <x v="15"/>
    <x v="3"/>
    <x v="1"/>
    <x v="2"/>
    <x v="0"/>
    <n v="-65"/>
    <x v="2"/>
  </r>
  <r>
    <d v="2021-03-22T00:00:00"/>
    <s v="Drink"/>
    <n v="5"/>
    <m/>
    <x v="1"/>
    <x v="1"/>
    <x v="1"/>
    <x v="2"/>
    <x v="0"/>
    <n v="-5"/>
    <x v="2"/>
  </r>
  <r>
    <d v="2021-03-23T00:00:00"/>
    <s v="Drink"/>
    <n v="5"/>
    <m/>
    <x v="1"/>
    <x v="1"/>
    <x v="1"/>
    <x v="2"/>
    <x v="1"/>
    <n v="-5"/>
    <x v="2"/>
  </r>
  <r>
    <d v="2021-03-24T00:00:00"/>
    <s v="Drink"/>
    <n v="5"/>
    <m/>
    <x v="1"/>
    <x v="1"/>
    <x v="1"/>
    <x v="2"/>
    <x v="2"/>
    <n v="-5"/>
    <x v="2"/>
  </r>
  <r>
    <d v="2021-03-25T00:00:00"/>
    <s v="Drink"/>
    <n v="5"/>
    <m/>
    <x v="1"/>
    <x v="1"/>
    <x v="1"/>
    <x v="2"/>
    <x v="3"/>
    <n v="-5"/>
    <x v="2"/>
  </r>
  <r>
    <d v="2021-03-26T00:00:00"/>
    <s v="Drink"/>
    <n v="5"/>
    <m/>
    <x v="1"/>
    <x v="1"/>
    <x v="1"/>
    <x v="2"/>
    <x v="4"/>
    <n v="-5"/>
    <x v="2"/>
  </r>
  <r>
    <d v="2021-03-26T00:00:00"/>
    <s v="Green's"/>
    <n v="209"/>
    <m/>
    <x v="4"/>
    <x v="2"/>
    <x v="1"/>
    <x v="2"/>
    <x v="4"/>
    <n v="-209"/>
    <x v="2"/>
  </r>
  <r>
    <d v="2021-03-27T00:00:00"/>
    <s v="Trainers"/>
    <n v="127"/>
    <m/>
    <x v="7"/>
    <x v="4"/>
    <x v="1"/>
    <x v="2"/>
    <x v="5"/>
    <n v="-127"/>
    <x v="2"/>
  </r>
  <r>
    <d v="2021-03-27T00:00:00"/>
    <s v="Sport ware"/>
    <n v="177.2"/>
    <m/>
    <x v="7"/>
    <x v="4"/>
    <x v="1"/>
    <x v="2"/>
    <x v="5"/>
    <n v="-177.2"/>
    <x v="2"/>
  </r>
  <r>
    <d v="2021-03-28T00:00:00"/>
    <s v="Fashionistas"/>
    <n v="147.1"/>
    <m/>
    <x v="7"/>
    <x v="4"/>
    <x v="1"/>
    <x v="2"/>
    <x v="6"/>
    <n v="-147.1"/>
    <x v="2"/>
  </r>
  <r>
    <d v="2021-03-28T00:00:00"/>
    <s v="Uba"/>
    <n v="25"/>
    <m/>
    <x v="9"/>
    <x v="3"/>
    <x v="1"/>
    <x v="2"/>
    <x v="6"/>
    <n v="-25"/>
    <x v="2"/>
  </r>
  <r>
    <d v="2021-03-29T00:00:00"/>
    <s v="Foodary"/>
    <n v="15"/>
    <m/>
    <x v="8"/>
    <x v="1"/>
    <x v="1"/>
    <x v="2"/>
    <x v="0"/>
    <n v="-15"/>
    <x v="2"/>
  </r>
  <r>
    <d v="2021-03-30T00:00:00"/>
    <s v="Drink"/>
    <n v="5"/>
    <m/>
    <x v="1"/>
    <x v="1"/>
    <x v="1"/>
    <x v="2"/>
    <x v="1"/>
    <n v="-5"/>
    <x v="2"/>
  </r>
  <r>
    <d v="2021-03-31T00:00:00"/>
    <s v="Drink"/>
    <n v="5"/>
    <m/>
    <x v="1"/>
    <x v="1"/>
    <x v="1"/>
    <x v="2"/>
    <x v="2"/>
    <n v="-5"/>
    <x v="2"/>
  </r>
  <r>
    <d v="2021-04-01T00:00:00"/>
    <s v="Data With Decision"/>
    <m/>
    <n v="5000"/>
    <x v="0"/>
    <x v="0"/>
    <x v="0"/>
    <x v="3"/>
    <x v="3"/>
    <n v="5000"/>
    <x v="3"/>
  </r>
  <r>
    <d v="2021-04-01T00:00:00"/>
    <s v="Drink"/>
    <n v="5"/>
    <m/>
    <x v="1"/>
    <x v="1"/>
    <x v="1"/>
    <x v="3"/>
    <x v="3"/>
    <n v="-5"/>
    <x v="3"/>
  </r>
  <r>
    <d v="2021-04-02T00:00:00"/>
    <s v="Estate Mangement"/>
    <n v="900"/>
    <m/>
    <x v="2"/>
    <x v="2"/>
    <x v="1"/>
    <x v="3"/>
    <x v="4"/>
    <n v="-900"/>
    <x v="3"/>
  </r>
  <r>
    <d v="2021-04-02T00:00:00"/>
    <s v="Financail upgrade"/>
    <n v="150"/>
    <m/>
    <x v="3"/>
    <x v="3"/>
    <x v="1"/>
    <x v="3"/>
    <x v="4"/>
    <n v="-150"/>
    <x v="3"/>
  </r>
  <r>
    <d v="2021-04-02T00:00:00"/>
    <s v="Drink"/>
    <n v="5"/>
    <m/>
    <x v="1"/>
    <x v="1"/>
    <x v="1"/>
    <x v="3"/>
    <x v="4"/>
    <n v="-5"/>
    <x v="3"/>
  </r>
  <r>
    <d v="2021-04-03T00:00:00"/>
    <s v="Drink"/>
    <n v="5"/>
    <m/>
    <x v="1"/>
    <x v="1"/>
    <x v="1"/>
    <x v="3"/>
    <x v="5"/>
    <n v="-5"/>
    <x v="3"/>
  </r>
  <r>
    <d v="2021-04-04T00:00:00"/>
    <s v="Drink"/>
    <n v="5"/>
    <m/>
    <x v="1"/>
    <x v="1"/>
    <x v="1"/>
    <x v="3"/>
    <x v="6"/>
    <n v="-5"/>
    <x v="3"/>
  </r>
  <r>
    <d v="2021-04-05T00:00:00"/>
    <s v="Drink"/>
    <n v="5"/>
    <m/>
    <x v="1"/>
    <x v="1"/>
    <x v="1"/>
    <x v="3"/>
    <x v="0"/>
    <n v="-5"/>
    <x v="3"/>
  </r>
  <r>
    <d v="2021-04-05T00:00:00"/>
    <s v="Green's"/>
    <n v="158.19999999999999"/>
    <m/>
    <x v="4"/>
    <x v="2"/>
    <x v="1"/>
    <x v="3"/>
    <x v="0"/>
    <n v="-158.19999999999999"/>
    <x v="3"/>
  </r>
  <r>
    <d v="2021-04-08T00:00:00"/>
    <s v="Power source"/>
    <n v="53.2"/>
    <m/>
    <x v="5"/>
    <x v="2"/>
    <x v="1"/>
    <x v="3"/>
    <x v="3"/>
    <n v="-53.2"/>
    <x v="3"/>
  </r>
  <r>
    <d v="2021-04-08T00:00:00"/>
    <s v="Drink"/>
    <n v="5"/>
    <m/>
    <x v="1"/>
    <x v="1"/>
    <x v="1"/>
    <x v="3"/>
    <x v="3"/>
    <n v="-5"/>
    <x v="3"/>
  </r>
  <r>
    <d v="2021-04-09T00:00:00"/>
    <s v="Drink"/>
    <n v="5"/>
    <m/>
    <x v="1"/>
    <x v="1"/>
    <x v="1"/>
    <x v="3"/>
    <x v="4"/>
    <n v="-5"/>
    <x v="3"/>
  </r>
  <r>
    <d v="2021-04-10T00:00:00"/>
    <s v="Fuel"/>
    <n v="79.900000000000006"/>
    <m/>
    <x v="15"/>
    <x v="3"/>
    <x v="1"/>
    <x v="3"/>
    <x v="5"/>
    <n v="-79.900000000000006"/>
    <x v="3"/>
  </r>
  <r>
    <d v="2021-04-10T00:00:00"/>
    <s v="Drink"/>
    <n v="5"/>
    <m/>
    <x v="1"/>
    <x v="1"/>
    <x v="1"/>
    <x v="3"/>
    <x v="5"/>
    <n v="-5"/>
    <x v="3"/>
  </r>
  <r>
    <d v="2021-04-11T00:00:00"/>
    <s v="Drink"/>
    <n v="5"/>
    <m/>
    <x v="1"/>
    <x v="1"/>
    <x v="1"/>
    <x v="3"/>
    <x v="6"/>
    <n v="-5"/>
    <x v="3"/>
  </r>
  <r>
    <d v="2021-04-12T00:00:00"/>
    <s v="Green's"/>
    <n v="98"/>
    <m/>
    <x v="4"/>
    <x v="2"/>
    <x v="1"/>
    <x v="3"/>
    <x v="0"/>
    <n v="-98"/>
    <x v="3"/>
  </r>
  <r>
    <d v="2021-04-12T00:00:00"/>
    <s v="Drink"/>
    <n v="5"/>
    <m/>
    <x v="1"/>
    <x v="1"/>
    <x v="1"/>
    <x v="3"/>
    <x v="0"/>
    <n v="-5"/>
    <x v="3"/>
  </r>
  <r>
    <d v="2021-04-13T00:00:00"/>
    <s v="Drink"/>
    <n v="5"/>
    <m/>
    <x v="1"/>
    <x v="1"/>
    <x v="1"/>
    <x v="3"/>
    <x v="1"/>
    <n v="-5"/>
    <x v="3"/>
  </r>
  <r>
    <d v="2021-04-13T00:00:00"/>
    <s v="Cinemas"/>
    <n v="42.8"/>
    <m/>
    <x v="6"/>
    <x v="4"/>
    <x v="1"/>
    <x v="3"/>
    <x v="1"/>
    <n v="-42.8"/>
    <x v="3"/>
  </r>
  <r>
    <d v="2021-04-13T00:00:00"/>
    <s v="Fashionistas"/>
    <n v="100.9"/>
    <m/>
    <x v="7"/>
    <x v="4"/>
    <x v="1"/>
    <x v="3"/>
    <x v="1"/>
    <n v="-100.9"/>
    <x v="3"/>
  </r>
  <r>
    <d v="2021-04-13T00:00:00"/>
    <s v="Burger"/>
    <n v="54.9"/>
    <m/>
    <x v="8"/>
    <x v="1"/>
    <x v="1"/>
    <x v="3"/>
    <x v="1"/>
    <n v="-54.9"/>
    <x v="3"/>
  </r>
  <r>
    <d v="2021-04-14T00:00:00"/>
    <s v="Uba"/>
    <n v="31"/>
    <m/>
    <x v="9"/>
    <x v="3"/>
    <x v="1"/>
    <x v="3"/>
    <x v="2"/>
    <n v="-31"/>
    <x v="3"/>
  </r>
  <r>
    <d v="2021-04-15T00:00:00"/>
    <s v="Onlne earning"/>
    <m/>
    <n v="2340"/>
    <x v="10"/>
    <x v="5"/>
    <x v="0"/>
    <x v="3"/>
    <x v="3"/>
    <n v="2340"/>
    <x v="3"/>
  </r>
  <r>
    <d v="2021-04-15T00:00:00"/>
    <s v="Drink"/>
    <n v="5"/>
    <m/>
    <x v="1"/>
    <x v="1"/>
    <x v="1"/>
    <x v="3"/>
    <x v="3"/>
    <n v="-5"/>
    <x v="3"/>
  </r>
  <r>
    <d v="2021-04-16T00:00:00"/>
    <s v="Drink"/>
    <n v="5"/>
    <m/>
    <x v="1"/>
    <x v="1"/>
    <x v="1"/>
    <x v="3"/>
    <x v="4"/>
    <n v="-5"/>
    <x v="3"/>
  </r>
  <r>
    <d v="2021-04-16T00:00:00"/>
    <s v="Phone"/>
    <n v="40"/>
    <m/>
    <x v="12"/>
    <x v="2"/>
    <x v="1"/>
    <x v="3"/>
    <x v="4"/>
    <n v="-40"/>
    <x v="3"/>
  </r>
  <r>
    <d v="2021-04-17T00:00:00"/>
    <s v="Sallah give away"/>
    <n v="47.9"/>
    <m/>
    <x v="13"/>
    <x v="4"/>
    <x v="1"/>
    <x v="3"/>
    <x v="5"/>
    <n v="-47.9"/>
    <x v="3"/>
  </r>
  <r>
    <d v="2021-04-17T00:00:00"/>
    <s v="Online streaming"/>
    <n v="35"/>
    <m/>
    <x v="6"/>
    <x v="4"/>
    <x v="1"/>
    <x v="3"/>
    <x v="5"/>
    <n v="-35"/>
    <x v="3"/>
  </r>
  <r>
    <d v="2021-04-17T00:00:00"/>
    <s v="Drink"/>
    <n v="5"/>
    <m/>
    <x v="1"/>
    <x v="1"/>
    <x v="1"/>
    <x v="3"/>
    <x v="5"/>
    <n v="-5"/>
    <x v="3"/>
  </r>
  <r>
    <d v="2021-04-18T00:00:00"/>
    <s v="Drink"/>
    <n v="5"/>
    <m/>
    <x v="1"/>
    <x v="1"/>
    <x v="1"/>
    <x v="3"/>
    <x v="6"/>
    <n v="-5"/>
    <x v="3"/>
  </r>
  <r>
    <d v="2021-04-19T00:00:00"/>
    <s v="Drink"/>
    <n v="5"/>
    <m/>
    <x v="1"/>
    <x v="1"/>
    <x v="1"/>
    <x v="3"/>
    <x v="0"/>
    <n v="-5"/>
    <x v="3"/>
  </r>
  <r>
    <d v="2021-04-19T00:00:00"/>
    <s v="Green's"/>
    <n v="173"/>
    <m/>
    <x v="4"/>
    <x v="2"/>
    <x v="1"/>
    <x v="3"/>
    <x v="0"/>
    <n v="-173"/>
    <x v="3"/>
  </r>
  <r>
    <d v="2021-04-20T00:00:00"/>
    <s v="Suya"/>
    <n v="40.1"/>
    <m/>
    <x v="8"/>
    <x v="1"/>
    <x v="1"/>
    <x v="3"/>
    <x v="1"/>
    <n v="-40.1"/>
    <x v="3"/>
  </r>
  <r>
    <d v="2021-04-21T00:00:00"/>
    <s v="Oha soup/White soup"/>
    <n v="15.1"/>
    <m/>
    <x v="8"/>
    <x v="1"/>
    <x v="1"/>
    <x v="3"/>
    <x v="2"/>
    <n v="-15.1"/>
    <x v="3"/>
  </r>
  <r>
    <d v="2021-04-22T00:00:00"/>
    <s v="Orphanage"/>
    <n v="55"/>
    <m/>
    <x v="14"/>
    <x v="6"/>
    <x v="1"/>
    <x v="3"/>
    <x v="3"/>
    <n v="-55"/>
    <x v="3"/>
  </r>
  <r>
    <d v="2021-04-22T00:00:00"/>
    <s v="Fuel"/>
    <n v="66"/>
    <m/>
    <x v="15"/>
    <x v="3"/>
    <x v="1"/>
    <x v="3"/>
    <x v="3"/>
    <n v="-66"/>
    <x v="3"/>
  </r>
  <r>
    <d v="2021-04-22T00:00:00"/>
    <s v="Drink"/>
    <n v="5"/>
    <m/>
    <x v="1"/>
    <x v="1"/>
    <x v="1"/>
    <x v="3"/>
    <x v="3"/>
    <n v="-5"/>
    <x v="3"/>
  </r>
  <r>
    <d v="2021-04-23T00:00:00"/>
    <s v="Drink"/>
    <n v="5"/>
    <m/>
    <x v="1"/>
    <x v="1"/>
    <x v="1"/>
    <x v="3"/>
    <x v="4"/>
    <n v="-5"/>
    <x v="3"/>
  </r>
  <r>
    <d v="2021-04-24T00:00:00"/>
    <s v="Drink"/>
    <n v="5"/>
    <m/>
    <x v="1"/>
    <x v="1"/>
    <x v="1"/>
    <x v="3"/>
    <x v="5"/>
    <n v="-5"/>
    <x v="3"/>
  </r>
  <r>
    <d v="2021-04-25T00:00:00"/>
    <s v="Drink"/>
    <n v="5"/>
    <m/>
    <x v="1"/>
    <x v="1"/>
    <x v="1"/>
    <x v="3"/>
    <x v="6"/>
    <n v="-5"/>
    <x v="3"/>
  </r>
  <r>
    <d v="2021-04-26T00:00:00"/>
    <s v="Drink"/>
    <n v="5"/>
    <m/>
    <x v="1"/>
    <x v="1"/>
    <x v="1"/>
    <x v="3"/>
    <x v="0"/>
    <n v="-5"/>
    <x v="3"/>
  </r>
  <r>
    <d v="2021-04-26T00:00:00"/>
    <s v="Green's"/>
    <n v="164.9"/>
    <m/>
    <x v="4"/>
    <x v="2"/>
    <x v="1"/>
    <x v="3"/>
    <x v="0"/>
    <n v="-164.9"/>
    <x v="3"/>
  </r>
  <r>
    <d v="2021-04-27T00:00:00"/>
    <s v="Trainers"/>
    <n v="127.9"/>
    <m/>
    <x v="7"/>
    <x v="4"/>
    <x v="1"/>
    <x v="3"/>
    <x v="1"/>
    <n v="-127.9"/>
    <x v="3"/>
  </r>
  <r>
    <d v="2021-04-27T00:00:00"/>
    <s v="Clubing"/>
    <n v="300"/>
    <m/>
    <x v="6"/>
    <x v="4"/>
    <x v="1"/>
    <x v="3"/>
    <x v="1"/>
    <n v="-300"/>
    <x v="3"/>
  </r>
  <r>
    <d v="2021-04-28T00:00:00"/>
    <s v="Fashionistas"/>
    <n v="148.1"/>
    <m/>
    <x v="7"/>
    <x v="4"/>
    <x v="1"/>
    <x v="3"/>
    <x v="2"/>
    <n v="-148.1"/>
    <x v="3"/>
  </r>
  <r>
    <d v="2021-04-28T00:00:00"/>
    <s v="Uba"/>
    <n v="26.1"/>
    <m/>
    <x v="9"/>
    <x v="3"/>
    <x v="1"/>
    <x v="3"/>
    <x v="2"/>
    <n v="-26.1"/>
    <x v="3"/>
  </r>
  <r>
    <d v="2021-04-29T00:00:00"/>
    <s v="Foodary"/>
    <n v="15"/>
    <m/>
    <x v="8"/>
    <x v="1"/>
    <x v="1"/>
    <x v="3"/>
    <x v="3"/>
    <n v="-15"/>
    <x v="3"/>
  </r>
  <r>
    <d v="2021-04-29T00:00:00"/>
    <s v="Drink"/>
    <n v="5"/>
    <m/>
    <x v="1"/>
    <x v="1"/>
    <x v="1"/>
    <x v="3"/>
    <x v="3"/>
    <n v="-5"/>
    <x v="3"/>
  </r>
  <r>
    <d v="2021-04-30T00:00:00"/>
    <s v="Drink"/>
    <n v="5"/>
    <m/>
    <x v="1"/>
    <x v="1"/>
    <x v="1"/>
    <x v="3"/>
    <x v="4"/>
    <n v="-5"/>
    <x v="3"/>
  </r>
  <r>
    <d v="2021-05-02T00:00:00"/>
    <s v="Drink"/>
    <n v="5"/>
    <m/>
    <x v="1"/>
    <x v="1"/>
    <x v="1"/>
    <x v="4"/>
    <x v="6"/>
    <n v="-5"/>
    <x v="4"/>
  </r>
  <r>
    <d v="2021-05-03T00:00:00"/>
    <s v="Data With Decision"/>
    <m/>
    <n v="5000"/>
    <x v="0"/>
    <x v="0"/>
    <x v="0"/>
    <x v="4"/>
    <x v="0"/>
    <n v="5000"/>
    <x v="4"/>
  </r>
  <r>
    <d v="2021-05-03T00:00:00"/>
    <s v="Estate Mangement"/>
    <n v="900"/>
    <m/>
    <x v="2"/>
    <x v="2"/>
    <x v="1"/>
    <x v="4"/>
    <x v="0"/>
    <n v="-900"/>
    <x v="4"/>
  </r>
  <r>
    <d v="2021-05-03T00:00:00"/>
    <s v="Financail upgrade"/>
    <n v="150"/>
    <m/>
    <x v="3"/>
    <x v="3"/>
    <x v="1"/>
    <x v="4"/>
    <x v="0"/>
    <n v="-150"/>
    <x v="4"/>
  </r>
  <r>
    <d v="2021-05-03T00:00:00"/>
    <s v="Drink"/>
    <n v="5"/>
    <m/>
    <x v="1"/>
    <x v="1"/>
    <x v="1"/>
    <x v="4"/>
    <x v="0"/>
    <n v="-5"/>
    <x v="4"/>
  </r>
  <r>
    <d v="2021-05-04T00:00:00"/>
    <s v="Drink"/>
    <n v="5"/>
    <m/>
    <x v="1"/>
    <x v="1"/>
    <x v="1"/>
    <x v="4"/>
    <x v="1"/>
    <n v="-5"/>
    <x v="4"/>
  </r>
  <r>
    <d v="2021-05-05T00:00:00"/>
    <s v="Drink"/>
    <n v="5"/>
    <m/>
    <x v="1"/>
    <x v="1"/>
    <x v="1"/>
    <x v="4"/>
    <x v="2"/>
    <n v="-5"/>
    <x v="4"/>
  </r>
  <r>
    <d v="2021-05-06T00:00:00"/>
    <s v="Drink"/>
    <n v="5"/>
    <m/>
    <x v="1"/>
    <x v="1"/>
    <x v="1"/>
    <x v="4"/>
    <x v="3"/>
    <n v="-5"/>
    <x v="4"/>
  </r>
  <r>
    <d v="2021-05-06T00:00:00"/>
    <s v="Green's"/>
    <n v="170"/>
    <m/>
    <x v="4"/>
    <x v="2"/>
    <x v="1"/>
    <x v="4"/>
    <x v="3"/>
    <n v="-170"/>
    <x v="4"/>
  </r>
  <r>
    <d v="2021-05-09T00:00:00"/>
    <s v="Power source"/>
    <n v="54.1"/>
    <m/>
    <x v="5"/>
    <x v="2"/>
    <x v="1"/>
    <x v="4"/>
    <x v="6"/>
    <n v="-54.1"/>
    <x v="4"/>
  </r>
  <r>
    <d v="2021-05-09T00:00:00"/>
    <s v="Drink"/>
    <n v="5"/>
    <m/>
    <x v="1"/>
    <x v="1"/>
    <x v="1"/>
    <x v="4"/>
    <x v="6"/>
    <n v="-5"/>
    <x v="4"/>
  </r>
  <r>
    <d v="2021-05-10T00:00:00"/>
    <s v="Drink"/>
    <n v="5"/>
    <m/>
    <x v="1"/>
    <x v="1"/>
    <x v="1"/>
    <x v="4"/>
    <x v="0"/>
    <n v="-5"/>
    <x v="4"/>
  </r>
  <r>
    <d v="2021-05-11T00:00:00"/>
    <s v="Fuel"/>
    <n v="81"/>
    <m/>
    <x v="15"/>
    <x v="3"/>
    <x v="1"/>
    <x v="4"/>
    <x v="1"/>
    <n v="-81"/>
    <x v="4"/>
  </r>
  <r>
    <d v="2021-05-11T00:00:00"/>
    <s v="Drink"/>
    <n v="5"/>
    <m/>
    <x v="1"/>
    <x v="1"/>
    <x v="1"/>
    <x v="4"/>
    <x v="1"/>
    <n v="-5"/>
    <x v="4"/>
  </r>
  <r>
    <d v="2021-05-12T00:00:00"/>
    <s v="Drink"/>
    <n v="5"/>
    <m/>
    <x v="1"/>
    <x v="1"/>
    <x v="1"/>
    <x v="4"/>
    <x v="2"/>
    <n v="-5"/>
    <x v="4"/>
  </r>
  <r>
    <d v="2021-05-13T00:00:00"/>
    <s v="Green's"/>
    <n v="139.1"/>
    <m/>
    <x v="4"/>
    <x v="2"/>
    <x v="1"/>
    <x v="4"/>
    <x v="3"/>
    <n v="-139.1"/>
    <x v="4"/>
  </r>
  <r>
    <d v="2021-05-13T00:00:00"/>
    <s v="Drink"/>
    <n v="5"/>
    <m/>
    <x v="1"/>
    <x v="1"/>
    <x v="1"/>
    <x v="4"/>
    <x v="3"/>
    <n v="-5"/>
    <x v="4"/>
  </r>
  <r>
    <d v="2021-05-14T00:00:00"/>
    <s v="Drink"/>
    <n v="5"/>
    <m/>
    <x v="1"/>
    <x v="1"/>
    <x v="1"/>
    <x v="4"/>
    <x v="4"/>
    <n v="-5"/>
    <x v="4"/>
  </r>
  <r>
    <d v="2021-05-14T00:00:00"/>
    <s v="Cinemas"/>
    <n v="43.9"/>
    <m/>
    <x v="6"/>
    <x v="4"/>
    <x v="1"/>
    <x v="4"/>
    <x v="4"/>
    <n v="-43.9"/>
    <x v="4"/>
  </r>
  <r>
    <d v="2021-05-14T00:00:00"/>
    <s v="Fashionistas"/>
    <n v="101.80000000000001"/>
    <m/>
    <x v="7"/>
    <x v="4"/>
    <x v="1"/>
    <x v="4"/>
    <x v="4"/>
    <n v="-101.80000000000001"/>
    <x v="4"/>
  </r>
  <r>
    <d v="2021-05-14T00:00:00"/>
    <s v="Burger"/>
    <n v="55.9"/>
    <m/>
    <x v="8"/>
    <x v="1"/>
    <x v="1"/>
    <x v="4"/>
    <x v="4"/>
    <n v="-55.9"/>
    <x v="4"/>
  </r>
  <r>
    <d v="2021-05-15T00:00:00"/>
    <s v="Uba"/>
    <n v="32"/>
    <m/>
    <x v="9"/>
    <x v="3"/>
    <x v="1"/>
    <x v="4"/>
    <x v="5"/>
    <n v="-32"/>
    <x v="4"/>
  </r>
  <r>
    <d v="2021-05-16T00:00:00"/>
    <s v="Onlne earning"/>
    <m/>
    <n v="1000"/>
    <x v="10"/>
    <x v="5"/>
    <x v="0"/>
    <x v="4"/>
    <x v="6"/>
    <n v="1000"/>
    <x v="4"/>
  </r>
  <r>
    <d v="2021-05-16T00:00:00"/>
    <s v="Drink"/>
    <n v="5"/>
    <m/>
    <x v="1"/>
    <x v="1"/>
    <x v="1"/>
    <x v="4"/>
    <x v="6"/>
    <n v="-5"/>
    <x v="4"/>
  </r>
  <r>
    <d v="2021-05-17T00:00:00"/>
    <s v="Drink"/>
    <n v="5"/>
    <m/>
    <x v="1"/>
    <x v="1"/>
    <x v="1"/>
    <x v="4"/>
    <x v="0"/>
    <n v="-5"/>
    <x v="4"/>
  </r>
  <r>
    <d v="2021-05-17T00:00:00"/>
    <s v="Taken medication"/>
    <n v="75"/>
    <m/>
    <x v="16"/>
    <x v="7"/>
    <x v="1"/>
    <x v="4"/>
    <x v="0"/>
    <n v="-75"/>
    <x v="4"/>
  </r>
  <r>
    <d v="2021-05-17T00:00:00"/>
    <s v="Phone"/>
    <n v="40"/>
    <m/>
    <x v="12"/>
    <x v="2"/>
    <x v="1"/>
    <x v="4"/>
    <x v="0"/>
    <n v="-40"/>
    <x v="4"/>
  </r>
  <r>
    <d v="2021-05-18T00:00:00"/>
    <s v="Sallah give away"/>
    <n v="49"/>
    <m/>
    <x v="13"/>
    <x v="4"/>
    <x v="1"/>
    <x v="4"/>
    <x v="1"/>
    <n v="-49"/>
    <x v="4"/>
  </r>
  <r>
    <d v="2021-05-18T00:00:00"/>
    <s v="Online streaming"/>
    <n v="35"/>
    <m/>
    <x v="6"/>
    <x v="4"/>
    <x v="1"/>
    <x v="4"/>
    <x v="1"/>
    <n v="-35"/>
    <x v="4"/>
  </r>
  <r>
    <d v="2021-05-18T00:00:00"/>
    <s v="Drink"/>
    <n v="5"/>
    <m/>
    <x v="1"/>
    <x v="1"/>
    <x v="1"/>
    <x v="4"/>
    <x v="1"/>
    <n v="-5"/>
    <x v="4"/>
  </r>
  <r>
    <d v="2021-05-19T00:00:00"/>
    <s v="Drink"/>
    <n v="5"/>
    <m/>
    <x v="1"/>
    <x v="1"/>
    <x v="1"/>
    <x v="4"/>
    <x v="2"/>
    <n v="-5"/>
    <x v="4"/>
  </r>
  <r>
    <d v="2021-05-20T00:00:00"/>
    <s v="Drink"/>
    <n v="5"/>
    <m/>
    <x v="1"/>
    <x v="1"/>
    <x v="1"/>
    <x v="4"/>
    <x v="3"/>
    <n v="-5"/>
    <x v="4"/>
  </r>
  <r>
    <d v="2021-05-20T00:00:00"/>
    <s v="Green's"/>
    <n v="174"/>
    <m/>
    <x v="4"/>
    <x v="2"/>
    <x v="1"/>
    <x v="4"/>
    <x v="3"/>
    <n v="-174"/>
    <x v="4"/>
  </r>
  <r>
    <d v="2021-05-21T00:00:00"/>
    <s v="Suya"/>
    <n v="41.1"/>
    <m/>
    <x v="8"/>
    <x v="1"/>
    <x v="1"/>
    <x v="4"/>
    <x v="4"/>
    <n v="-41.1"/>
    <x v="4"/>
  </r>
  <r>
    <d v="2021-05-22T00:00:00"/>
    <s v="Oha soup/White soup"/>
    <n v="16.2"/>
    <m/>
    <x v="8"/>
    <x v="1"/>
    <x v="1"/>
    <x v="4"/>
    <x v="5"/>
    <n v="-16.2"/>
    <x v="4"/>
  </r>
  <r>
    <d v="2021-05-23T00:00:00"/>
    <s v="Orphanage"/>
    <n v="55"/>
    <m/>
    <x v="14"/>
    <x v="6"/>
    <x v="1"/>
    <x v="4"/>
    <x v="6"/>
    <n v="-55"/>
    <x v="4"/>
  </r>
  <r>
    <d v="2021-05-23T00:00:00"/>
    <s v="Fuel"/>
    <n v="67"/>
    <m/>
    <x v="15"/>
    <x v="3"/>
    <x v="1"/>
    <x v="4"/>
    <x v="6"/>
    <n v="-67"/>
    <x v="4"/>
  </r>
  <r>
    <d v="2021-05-23T00:00:00"/>
    <s v="Drink"/>
    <n v="5"/>
    <m/>
    <x v="1"/>
    <x v="1"/>
    <x v="1"/>
    <x v="4"/>
    <x v="6"/>
    <n v="-5"/>
    <x v="4"/>
  </r>
  <r>
    <d v="2021-05-24T00:00:00"/>
    <s v="Drink"/>
    <n v="5"/>
    <m/>
    <x v="1"/>
    <x v="1"/>
    <x v="1"/>
    <x v="4"/>
    <x v="0"/>
    <n v="-5"/>
    <x v="4"/>
  </r>
  <r>
    <d v="2021-05-25T00:00:00"/>
    <s v="Drink"/>
    <n v="5"/>
    <m/>
    <x v="1"/>
    <x v="1"/>
    <x v="1"/>
    <x v="4"/>
    <x v="1"/>
    <n v="-5"/>
    <x v="4"/>
  </r>
  <r>
    <d v="2021-05-26T00:00:00"/>
    <s v="Drink"/>
    <n v="5"/>
    <m/>
    <x v="1"/>
    <x v="1"/>
    <x v="1"/>
    <x v="4"/>
    <x v="2"/>
    <n v="-5"/>
    <x v="4"/>
  </r>
  <r>
    <d v="2021-05-27T00:00:00"/>
    <s v="Drink"/>
    <n v="5"/>
    <m/>
    <x v="1"/>
    <x v="1"/>
    <x v="1"/>
    <x v="4"/>
    <x v="3"/>
    <n v="-5"/>
    <x v="4"/>
  </r>
  <r>
    <d v="2021-05-27T00:00:00"/>
    <s v="Green's"/>
    <n v="165.8"/>
    <m/>
    <x v="4"/>
    <x v="2"/>
    <x v="1"/>
    <x v="4"/>
    <x v="3"/>
    <n v="-165.8"/>
    <x v="4"/>
  </r>
  <r>
    <d v="2021-05-28T00:00:00"/>
    <s v="Trainers"/>
    <n v="128.80000000000001"/>
    <m/>
    <x v="7"/>
    <x v="4"/>
    <x v="1"/>
    <x v="4"/>
    <x v="4"/>
    <n v="-128.80000000000001"/>
    <x v="4"/>
  </r>
  <r>
    <d v="2021-05-28T00:00:00"/>
    <s v="Home décor"/>
    <n v="235"/>
    <m/>
    <x v="17"/>
    <x v="4"/>
    <x v="1"/>
    <x v="4"/>
    <x v="4"/>
    <n v="-235"/>
    <x v="4"/>
  </r>
  <r>
    <d v="2021-05-29T00:00:00"/>
    <s v="Fashionistas"/>
    <n v="149.19999999999999"/>
    <m/>
    <x v="7"/>
    <x v="4"/>
    <x v="1"/>
    <x v="4"/>
    <x v="5"/>
    <n v="-149.19999999999999"/>
    <x v="4"/>
  </r>
  <r>
    <d v="2021-05-29T00:00:00"/>
    <s v="Uba"/>
    <n v="27.200000000000003"/>
    <m/>
    <x v="9"/>
    <x v="3"/>
    <x v="1"/>
    <x v="4"/>
    <x v="5"/>
    <n v="-27.200000000000003"/>
    <x v="4"/>
  </r>
  <r>
    <d v="2021-05-31T00:00:00"/>
    <s v="Foodary"/>
    <n v="15"/>
    <m/>
    <x v="8"/>
    <x v="1"/>
    <x v="1"/>
    <x v="4"/>
    <x v="0"/>
    <n v="-15"/>
    <x v="4"/>
  </r>
  <r>
    <d v="2021-05-30T00:00:00"/>
    <s v="Drink"/>
    <n v="5"/>
    <m/>
    <x v="1"/>
    <x v="1"/>
    <x v="1"/>
    <x v="4"/>
    <x v="6"/>
    <n v="-5"/>
    <x v="4"/>
  </r>
  <r>
    <d v="2021-05-31T00:00:00"/>
    <s v="Drink"/>
    <n v="5"/>
    <m/>
    <x v="1"/>
    <x v="1"/>
    <x v="1"/>
    <x v="4"/>
    <x v="0"/>
    <n v="-5"/>
    <x v="4"/>
  </r>
  <r>
    <d v="2021-06-01T00:00:00"/>
    <s v="Data With Decision"/>
    <m/>
    <n v="5000"/>
    <x v="0"/>
    <x v="0"/>
    <x v="0"/>
    <x v="5"/>
    <x v="1"/>
    <n v="5000"/>
    <x v="5"/>
  </r>
  <r>
    <d v="2021-06-03T00:00:00"/>
    <s v="Drink"/>
    <n v="5"/>
    <m/>
    <x v="1"/>
    <x v="1"/>
    <x v="1"/>
    <x v="5"/>
    <x v="3"/>
    <n v="-5"/>
    <x v="5"/>
  </r>
  <r>
    <d v="2021-06-03T00:00:00"/>
    <s v="Estate Mangement"/>
    <n v="900"/>
    <m/>
    <x v="2"/>
    <x v="2"/>
    <x v="1"/>
    <x v="5"/>
    <x v="3"/>
    <n v="-900"/>
    <x v="5"/>
  </r>
  <r>
    <d v="2021-06-03T00:00:00"/>
    <s v="Financail upgrade"/>
    <n v="150"/>
    <m/>
    <x v="3"/>
    <x v="3"/>
    <x v="1"/>
    <x v="5"/>
    <x v="3"/>
    <n v="-150"/>
    <x v="5"/>
  </r>
  <r>
    <d v="2021-06-03T00:00:00"/>
    <s v="Drink"/>
    <n v="5"/>
    <m/>
    <x v="1"/>
    <x v="1"/>
    <x v="1"/>
    <x v="5"/>
    <x v="3"/>
    <n v="-5"/>
    <x v="5"/>
  </r>
  <r>
    <d v="2021-06-04T00:00:00"/>
    <s v="Drink"/>
    <n v="5"/>
    <m/>
    <x v="1"/>
    <x v="1"/>
    <x v="1"/>
    <x v="5"/>
    <x v="4"/>
    <n v="-5"/>
    <x v="5"/>
  </r>
  <r>
    <d v="2021-06-05T00:00:00"/>
    <s v="Drink"/>
    <n v="5"/>
    <m/>
    <x v="1"/>
    <x v="1"/>
    <x v="1"/>
    <x v="5"/>
    <x v="5"/>
    <n v="-5"/>
    <x v="5"/>
  </r>
  <r>
    <d v="2021-06-06T00:00:00"/>
    <s v="Drink"/>
    <n v="5"/>
    <m/>
    <x v="1"/>
    <x v="1"/>
    <x v="1"/>
    <x v="5"/>
    <x v="6"/>
    <n v="-5"/>
    <x v="5"/>
  </r>
  <r>
    <d v="2021-06-06T00:00:00"/>
    <s v="Green's"/>
    <n v="119"/>
    <m/>
    <x v="4"/>
    <x v="2"/>
    <x v="1"/>
    <x v="5"/>
    <x v="6"/>
    <n v="-119"/>
    <x v="5"/>
  </r>
  <r>
    <d v="2021-06-09T00:00:00"/>
    <s v="Power source"/>
    <n v="55"/>
    <m/>
    <x v="5"/>
    <x v="2"/>
    <x v="1"/>
    <x v="5"/>
    <x v="2"/>
    <n v="-55"/>
    <x v="5"/>
  </r>
  <r>
    <d v="2021-06-09T00:00:00"/>
    <s v="Drink"/>
    <n v="5"/>
    <m/>
    <x v="1"/>
    <x v="1"/>
    <x v="1"/>
    <x v="5"/>
    <x v="2"/>
    <n v="-5"/>
    <x v="5"/>
  </r>
  <r>
    <d v="2021-06-10T00:00:00"/>
    <s v="Drink"/>
    <n v="5"/>
    <m/>
    <x v="1"/>
    <x v="1"/>
    <x v="1"/>
    <x v="5"/>
    <x v="3"/>
    <n v="-5"/>
    <x v="5"/>
  </r>
  <r>
    <d v="2021-06-11T00:00:00"/>
    <s v="Fuel"/>
    <n v="82.1"/>
    <m/>
    <x v="15"/>
    <x v="3"/>
    <x v="1"/>
    <x v="5"/>
    <x v="4"/>
    <n v="-82.1"/>
    <x v="5"/>
  </r>
  <r>
    <d v="2021-06-11T00:00:00"/>
    <s v="Drink"/>
    <n v="5"/>
    <m/>
    <x v="1"/>
    <x v="1"/>
    <x v="1"/>
    <x v="5"/>
    <x v="4"/>
    <n v="-5"/>
    <x v="5"/>
  </r>
  <r>
    <d v="2021-06-12T00:00:00"/>
    <s v="Drink"/>
    <n v="5"/>
    <m/>
    <x v="1"/>
    <x v="1"/>
    <x v="1"/>
    <x v="5"/>
    <x v="5"/>
    <n v="-5"/>
    <x v="5"/>
  </r>
  <r>
    <d v="2021-06-13T00:00:00"/>
    <s v="Green's"/>
    <n v="140.19999999999999"/>
    <m/>
    <x v="4"/>
    <x v="2"/>
    <x v="1"/>
    <x v="5"/>
    <x v="6"/>
    <n v="-140.19999999999999"/>
    <x v="5"/>
  </r>
  <r>
    <d v="2021-06-13T00:00:00"/>
    <s v="Drink"/>
    <n v="5"/>
    <m/>
    <x v="1"/>
    <x v="1"/>
    <x v="1"/>
    <x v="5"/>
    <x v="6"/>
    <n v="-5"/>
    <x v="5"/>
  </r>
  <r>
    <d v="2021-06-14T00:00:00"/>
    <s v="Drink"/>
    <n v="5"/>
    <m/>
    <x v="1"/>
    <x v="1"/>
    <x v="1"/>
    <x v="5"/>
    <x v="0"/>
    <n v="-5"/>
    <x v="5"/>
  </r>
  <r>
    <d v="2021-06-14T00:00:00"/>
    <s v="Cinemas"/>
    <n v="44.9"/>
    <m/>
    <x v="6"/>
    <x v="4"/>
    <x v="1"/>
    <x v="5"/>
    <x v="0"/>
    <n v="-44.9"/>
    <x v="5"/>
  </r>
  <r>
    <d v="2021-06-14T00:00:00"/>
    <s v="Fashionistas"/>
    <n v="102.9"/>
    <m/>
    <x v="7"/>
    <x v="4"/>
    <x v="1"/>
    <x v="5"/>
    <x v="0"/>
    <n v="-102.9"/>
    <x v="5"/>
  </r>
  <r>
    <d v="2021-06-14T00:00:00"/>
    <s v="Burger"/>
    <n v="56.9"/>
    <m/>
    <x v="8"/>
    <x v="1"/>
    <x v="1"/>
    <x v="5"/>
    <x v="0"/>
    <n v="-56.9"/>
    <x v="5"/>
  </r>
  <r>
    <d v="2021-06-15T00:00:00"/>
    <s v="Uba"/>
    <n v="33.1"/>
    <m/>
    <x v="9"/>
    <x v="3"/>
    <x v="1"/>
    <x v="5"/>
    <x v="1"/>
    <n v="-33.1"/>
    <x v="5"/>
  </r>
  <r>
    <d v="2021-06-16T00:00:00"/>
    <s v="Onlne earning"/>
    <m/>
    <n v="100"/>
    <x v="10"/>
    <x v="5"/>
    <x v="0"/>
    <x v="5"/>
    <x v="2"/>
    <n v="100"/>
    <x v="5"/>
  </r>
  <r>
    <d v="2021-06-16T00:00:00"/>
    <s v="Drink"/>
    <n v="5"/>
    <m/>
    <x v="1"/>
    <x v="1"/>
    <x v="1"/>
    <x v="5"/>
    <x v="2"/>
    <n v="-5"/>
    <x v="5"/>
  </r>
  <r>
    <d v="2021-06-17T00:00:00"/>
    <s v="Drink"/>
    <n v="5"/>
    <m/>
    <x v="1"/>
    <x v="1"/>
    <x v="1"/>
    <x v="5"/>
    <x v="3"/>
    <n v="-5"/>
    <x v="5"/>
  </r>
  <r>
    <d v="2021-06-17T00:00:00"/>
    <s v="Phone"/>
    <n v="40"/>
    <m/>
    <x v="12"/>
    <x v="2"/>
    <x v="1"/>
    <x v="5"/>
    <x v="3"/>
    <n v="-40"/>
    <x v="5"/>
  </r>
  <r>
    <d v="2021-06-18T00:00:00"/>
    <s v="Sallah give away"/>
    <n v="50.1"/>
    <m/>
    <x v="13"/>
    <x v="4"/>
    <x v="1"/>
    <x v="5"/>
    <x v="4"/>
    <n v="-50.1"/>
    <x v="5"/>
  </r>
  <r>
    <d v="2021-06-18T00:00:00"/>
    <s v="Online streaming"/>
    <n v="35"/>
    <m/>
    <x v="6"/>
    <x v="4"/>
    <x v="1"/>
    <x v="5"/>
    <x v="4"/>
    <n v="-35"/>
    <x v="5"/>
  </r>
  <r>
    <d v="2021-06-18T00:00:00"/>
    <s v="Drink"/>
    <n v="5"/>
    <m/>
    <x v="1"/>
    <x v="1"/>
    <x v="1"/>
    <x v="5"/>
    <x v="4"/>
    <n v="-5"/>
    <x v="5"/>
  </r>
  <r>
    <d v="2021-06-19T00:00:00"/>
    <s v="Drink"/>
    <n v="5"/>
    <m/>
    <x v="1"/>
    <x v="1"/>
    <x v="1"/>
    <x v="5"/>
    <x v="5"/>
    <n v="-5"/>
    <x v="5"/>
  </r>
  <r>
    <d v="2021-06-20T00:00:00"/>
    <s v="Drink"/>
    <n v="5"/>
    <m/>
    <x v="1"/>
    <x v="1"/>
    <x v="1"/>
    <x v="5"/>
    <x v="6"/>
    <n v="-5"/>
    <x v="5"/>
  </r>
  <r>
    <d v="2021-06-20T00:00:00"/>
    <s v="Green's"/>
    <n v="234"/>
    <m/>
    <x v="4"/>
    <x v="2"/>
    <x v="1"/>
    <x v="5"/>
    <x v="6"/>
    <n v="-234"/>
    <x v="5"/>
  </r>
  <r>
    <d v="2021-06-21T00:00:00"/>
    <s v="Suya"/>
    <n v="42.1"/>
    <m/>
    <x v="8"/>
    <x v="1"/>
    <x v="1"/>
    <x v="5"/>
    <x v="0"/>
    <n v="-42.1"/>
    <x v="5"/>
  </r>
  <r>
    <d v="2021-06-22T00:00:00"/>
    <s v="Oha soup/White soup"/>
    <n v="17.099999999999998"/>
    <m/>
    <x v="8"/>
    <x v="1"/>
    <x v="1"/>
    <x v="5"/>
    <x v="1"/>
    <n v="-17.099999999999998"/>
    <x v="5"/>
  </r>
  <r>
    <d v="2021-06-23T00:00:00"/>
    <s v="Orphanage"/>
    <n v="55"/>
    <m/>
    <x v="14"/>
    <x v="6"/>
    <x v="1"/>
    <x v="5"/>
    <x v="2"/>
    <n v="-55"/>
    <x v="5"/>
  </r>
  <r>
    <d v="2021-06-23T00:00:00"/>
    <s v="Fuel"/>
    <n v="67.900000000000006"/>
    <m/>
    <x v="15"/>
    <x v="3"/>
    <x v="1"/>
    <x v="5"/>
    <x v="2"/>
    <n v="-67.900000000000006"/>
    <x v="5"/>
  </r>
  <r>
    <d v="2021-06-23T00:00:00"/>
    <s v="Drink"/>
    <n v="5"/>
    <m/>
    <x v="1"/>
    <x v="1"/>
    <x v="1"/>
    <x v="5"/>
    <x v="2"/>
    <n v="-5"/>
    <x v="5"/>
  </r>
  <r>
    <d v="2021-06-24T00:00:00"/>
    <s v="Drink"/>
    <n v="5"/>
    <m/>
    <x v="1"/>
    <x v="1"/>
    <x v="1"/>
    <x v="5"/>
    <x v="3"/>
    <n v="-5"/>
    <x v="5"/>
  </r>
  <r>
    <d v="2021-06-25T00:00:00"/>
    <s v="Drink"/>
    <n v="5"/>
    <m/>
    <x v="1"/>
    <x v="1"/>
    <x v="1"/>
    <x v="5"/>
    <x v="4"/>
    <n v="-5"/>
    <x v="5"/>
  </r>
  <r>
    <d v="2021-06-26T00:00:00"/>
    <s v="Drink"/>
    <n v="5"/>
    <m/>
    <x v="1"/>
    <x v="1"/>
    <x v="1"/>
    <x v="5"/>
    <x v="5"/>
    <n v="-5"/>
    <x v="5"/>
  </r>
  <r>
    <d v="2021-06-27T00:00:00"/>
    <s v="Drink"/>
    <n v="5"/>
    <m/>
    <x v="1"/>
    <x v="1"/>
    <x v="1"/>
    <x v="5"/>
    <x v="6"/>
    <n v="-5"/>
    <x v="5"/>
  </r>
  <r>
    <d v="2021-06-27T00:00:00"/>
    <s v="Green's"/>
    <n v="166.9"/>
    <m/>
    <x v="4"/>
    <x v="2"/>
    <x v="1"/>
    <x v="5"/>
    <x v="6"/>
    <n v="-166.9"/>
    <x v="5"/>
  </r>
  <r>
    <d v="2021-06-28T00:00:00"/>
    <s v="Trainers"/>
    <n v="129.9"/>
    <m/>
    <x v="7"/>
    <x v="4"/>
    <x v="1"/>
    <x v="5"/>
    <x v="0"/>
    <n v="-129.9"/>
    <x v="5"/>
  </r>
  <r>
    <d v="2021-06-28T00:00:00"/>
    <s v="Hangingout/Ticket"/>
    <n v="180.29999999999998"/>
    <m/>
    <x v="6"/>
    <x v="4"/>
    <x v="1"/>
    <x v="5"/>
    <x v="0"/>
    <n v="-180.29999999999998"/>
    <x v="5"/>
  </r>
  <r>
    <d v="2021-06-29T00:00:00"/>
    <s v="Fashionistas"/>
    <n v="150.1"/>
    <m/>
    <x v="7"/>
    <x v="4"/>
    <x v="1"/>
    <x v="5"/>
    <x v="1"/>
    <n v="-150.1"/>
    <x v="5"/>
  </r>
  <r>
    <d v="2021-06-29T00:00:00"/>
    <s v="Uba"/>
    <n v="28.200000000000003"/>
    <m/>
    <x v="9"/>
    <x v="3"/>
    <x v="1"/>
    <x v="5"/>
    <x v="1"/>
    <n v="-28.200000000000003"/>
    <x v="5"/>
  </r>
  <r>
    <d v="2021-06-29T00:00:00"/>
    <s v="Foodary"/>
    <n v="15"/>
    <m/>
    <x v="8"/>
    <x v="1"/>
    <x v="1"/>
    <x v="5"/>
    <x v="1"/>
    <n v="-15"/>
    <x v="5"/>
  </r>
  <r>
    <d v="2021-06-30T00:00:00"/>
    <s v="Drink"/>
    <n v="5"/>
    <m/>
    <x v="1"/>
    <x v="1"/>
    <x v="1"/>
    <x v="5"/>
    <x v="2"/>
    <n v="-5"/>
    <x v="5"/>
  </r>
  <r>
    <d v="2021-07-01T00:00:00"/>
    <s v="Drink"/>
    <n v="5"/>
    <m/>
    <x v="1"/>
    <x v="1"/>
    <x v="1"/>
    <x v="6"/>
    <x v="3"/>
    <n v="-5"/>
    <x v="6"/>
  </r>
  <r>
    <d v="2021-07-02T00:00:00"/>
    <s v="Data With Decision"/>
    <m/>
    <n v="5000"/>
    <x v="0"/>
    <x v="0"/>
    <x v="0"/>
    <x v="6"/>
    <x v="4"/>
    <n v="5000"/>
    <x v="6"/>
  </r>
  <r>
    <d v="2021-07-03T00:00:00"/>
    <s v="Drink"/>
    <n v="5"/>
    <m/>
    <x v="1"/>
    <x v="1"/>
    <x v="1"/>
    <x v="6"/>
    <x v="5"/>
    <n v="-5"/>
    <x v="6"/>
  </r>
  <r>
    <d v="2021-07-05T00:00:00"/>
    <s v="Estate Mangement"/>
    <n v="900"/>
    <m/>
    <x v="2"/>
    <x v="2"/>
    <x v="1"/>
    <x v="6"/>
    <x v="0"/>
    <n v="-900"/>
    <x v="6"/>
  </r>
  <r>
    <d v="2021-07-05T00:00:00"/>
    <s v="Financail upgrade"/>
    <n v="150"/>
    <m/>
    <x v="3"/>
    <x v="3"/>
    <x v="1"/>
    <x v="6"/>
    <x v="0"/>
    <n v="-150"/>
    <x v="6"/>
  </r>
  <r>
    <d v="2021-07-05T00:00:00"/>
    <s v="Feedings"/>
    <n v="15"/>
    <m/>
    <x v="8"/>
    <x v="1"/>
    <x v="1"/>
    <x v="6"/>
    <x v="0"/>
    <n v="-15"/>
    <x v="6"/>
  </r>
  <r>
    <d v="2021-07-05T00:00:00"/>
    <s v="Drink"/>
    <n v="5"/>
    <m/>
    <x v="1"/>
    <x v="1"/>
    <x v="1"/>
    <x v="6"/>
    <x v="0"/>
    <n v="-5"/>
    <x v="6"/>
  </r>
  <r>
    <d v="2021-07-06T00:00:00"/>
    <s v="Drink"/>
    <n v="5"/>
    <m/>
    <x v="1"/>
    <x v="1"/>
    <x v="1"/>
    <x v="6"/>
    <x v="1"/>
    <n v="-5"/>
    <x v="6"/>
  </r>
  <r>
    <d v="2021-07-07T00:00:00"/>
    <s v="Drink"/>
    <n v="5"/>
    <m/>
    <x v="1"/>
    <x v="1"/>
    <x v="1"/>
    <x v="6"/>
    <x v="2"/>
    <n v="-5"/>
    <x v="6"/>
  </r>
  <r>
    <d v="2021-07-07T00:00:00"/>
    <s v="Green's"/>
    <n v="180"/>
    <m/>
    <x v="4"/>
    <x v="2"/>
    <x v="1"/>
    <x v="6"/>
    <x v="2"/>
    <n v="-180"/>
    <x v="6"/>
  </r>
  <r>
    <d v="2021-07-10T00:00:00"/>
    <s v="Power source"/>
    <n v="56.1"/>
    <m/>
    <x v="5"/>
    <x v="2"/>
    <x v="1"/>
    <x v="6"/>
    <x v="5"/>
    <n v="-56.1"/>
    <x v="6"/>
  </r>
  <r>
    <d v="2021-07-10T00:00:00"/>
    <s v="Drink"/>
    <n v="5"/>
    <m/>
    <x v="1"/>
    <x v="1"/>
    <x v="1"/>
    <x v="6"/>
    <x v="5"/>
    <n v="-5"/>
    <x v="6"/>
  </r>
  <r>
    <d v="2021-07-11T00:00:00"/>
    <s v="Drink"/>
    <n v="5"/>
    <m/>
    <x v="1"/>
    <x v="1"/>
    <x v="1"/>
    <x v="6"/>
    <x v="6"/>
    <n v="-5"/>
    <x v="6"/>
  </r>
  <r>
    <d v="2021-07-12T00:00:00"/>
    <s v="Fuel"/>
    <n v="83.1"/>
    <m/>
    <x v="15"/>
    <x v="3"/>
    <x v="1"/>
    <x v="6"/>
    <x v="0"/>
    <n v="-83.1"/>
    <x v="6"/>
  </r>
  <r>
    <d v="2021-07-12T00:00:00"/>
    <s v="Drink"/>
    <n v="5"/>
    <m/>
    <x v="1"/>
    <x v="1"/>
    <x v="1"/>
    <x v="6"/>
    <x v="0"/>
    <n v="-5"/>
    <x v="6"/>
  </r>
  <r>
    <d v="2021-07-13T00:00:00"/>
    <s v="Drink"/>
    <n v="5"/>
    <m/>
    <x v="1"/>
    <x v="1"/>
    <x v="1"/>
    <x v="6"/>
    <x v="1"/>
    <n v="-5"/>
    <x v="6"/>
  </r>
  <r>
    <d v="2021-07-14T00:00:00"/>
    <s v="Green's"/>
    <n v="141.1"/>
    <m/>
    <x v="4"/>
    <x v="2"/>
    <x v="1"/>
    <x v="6"/>
    <x v="2"/>
    <n v="-141.1"/>
    <x v="6"/>
  </r>
  <r>
    <d v="2021-07-14T00:00:00"/>
    <s v="Drink"/>
    <n v="5"/>
    <m/>
    <x v="1"/>
    <x v="1"/>
    <x v="1"/>
    <x v="6"/>
    <x v="2"/>
    <n v="-5"/>
    <x v="6"/>
  </r>
  <r>
    <d v="2021-07-15T00:00:00"/>
    <s v="Drink"/>
    <n v="5"/>
    <m/>
    <x v="1"/>
    <x v="1"/>
    <x v="1"/>
    <x v="6"/>
    <x v="3"/>
    <n v="-5"/>
    <x v="6"/>
  </r>
  <r>
    <d v="2021-07-15T00:00:00"/>
    <s v="Cinemas"/>
    <n v="45.8"/>
    <m/>
    <x v="6"/>
    <x v="4"/>
    <x v="1"/>
    <x v="6"/>
    <x v="3"/>
    <n v="-45.8"/>
    <x v="6"/>
  </r>
  <r>
    <d v="2021-07-15T00:00:00"/>
    <s v="Fashionistas"/>
    <n v="103.80000000000001"/>
    <m/>
    <x v="7"/>
    <x v="4"/>
    <x v="1"/>
    <x v="6"/>
    <x v="3"/>
    <n v="-103.80000000000001"/>
    <x v="6"/>
  </r>
  <r>
    <d v="2021-07-15T00:00:00"/>
    <s v="Burger"/>
    <n v="58"/>
    <m/>
    <x v="8"/>
    <x v="1"/>
    <x v="1"/>
    <x v="6"/>
    <x v="3"/>
    <n v="-58"/>
    <x v="6"/>
  </r>
  <r>
    <d v="2021-07-16T00:00:00"/>
    <s v="Uba"/>
    <n v="34.200000000000003"/>
    <m/>
    <x v="9"/>
    <x v="3"/>
    <x v="1"/>
    <x v="6"/>
    <x v="4"/>
    <n v="-34.200000000000003"/>
    <x v="6"/>
  </r>
  <r>
    <d v="2021-07-17T00:00:00"/>
    <s v="Onlne earning"/>
    <m/>
    <n v="200"/>
    <x v="10"/>
    <x v="5"/>
    <x v="0"/>
    <x v="6"/>
    <x v="5"/>
    <n v="200"/>
    <x v="6"/>
  </r>
  <r>
    <d v="2021-07-17T00:00:00"/>
    <s v="Drink"/>
    <n v="5"/>
    <m/>
    <x v="1"/>
    <x v="1"/>
    <x v="1"/>
    <x v="6"/>
    <x v="5"/>
    <n v="-5"/>
    <x v="6"/>
  </r>
  <r>
    <d v="2021-07-18T00:00:00"/>
    <s v="Drink"/>
    <n v="5"/>
    <m/>
    <x v="1"/>
    <x v="1"/>
    <x v="1"/>
    <x v="6"/>
    <x v="6"/>
    <n v="-5"/>
    <x v="6"/>
  </r>
  <r>
    <d v="2021-07-18T00:00:00"/>
    <s v="Phone"/>
    <n v="40"/>
    <m/>
    <x v="12"/>
    <x v="2"/>
    <x v="1"/>
    <x v="6"/>
    <x v="6"/>
    <n v="-40"/>
    <x v="6"/>
  </r>
  <r>
    <d v="2021-07-19T00:00:00"/>
    <s v="Sallah give away"/>
    <n v="51.1"/>
    <m/>
    <x v="13"/>
    <x v="4"/>
    <x v="1"/>
    <x v="6"/>
    <x v="0"/>
    <n v="-51.1"/>
    <x v="6"/>
  </r>
  <r>
    <d v="2021-07-19T00:00:00"/>
    <s v="Online streaming"/>
    <n v="35"/>
    <m/>
    <x v="6"/>
    <x v="4"/>
    <x v="1"/>
    <x v="6"/>
    <x v="0"/>
    <n v="-35"/>
    <x v="6"/>
  </r>
  <r>
    <d v="2021-07-19T00:00:00"/>
    <s v="Drink"/>
    <n v="5"/>
    <m/>
    <x v="1"/>
    <x v="1"/>
    <x v="1"/>
    <x v="6"/>
    <x v="0"/>
    <n v="-5"/>
    <x v="6"/>
  </r>
  <r>
    <d v="2021-07-20T00:00:00"/>
    <s v="Drink"/>
    <n v="5"/>
    <m/>
    <x v="1"/>
    <x v="1"/>
    <x v="1"/>
    <x v="6"/>
    <x v="1"/>
    <n v="-5"/>
    <x v="6"/>
  </r>
  <r>
    <d v="2021-07-21T00:00:00"/>
    <s v="Drink"/>
    <n v="5"/>
    <m/>
    <x v="1"/>
    <x v="1"/>
    <x v="1"/>
    <x v="6"/>
    <x v="2"/>
    <n v="-5"/>
    <x v="6"/>
  </r>
  <r>
    <d v="2021-07-21T00:00:00"/>
    <s v="Green's"/>
    <n v="176"/>
    <m/>
    <x v="4"/>
    <x v="2"/>
    <x v="1"/>
    <x v="6"/>
    <x v="2"/>
    <n v="-176"/>
    <x v="6"/>
  </r>
  <r>
    <d v="2021-07-22T00:00:00"/>
    <s v="Suya"/>
    <n v="43.1"/>
    <m/>
    <x v="8"/>
    <x v="1"/>
    <x v="1"/>
    <x v="6"/>
    <x v="3"/>
    <n v="-43.1"/>
    <x v="6"/>
  </r>
  <r>
    <d v="2021-07-23T00:00:00"/>
    <s v="Oha soup/White soup"/>
    <n v="18.2"/>
    <m/>
    <x v="8"/>
    <x v="1"/>
    <x v="1"/>
    <x v="6"/>
    <x v="4"/>
    <n v="-18.2"/>
    <x v="6"/>
  </r>
  <r>
    <d v="2021-07-24T00:00:00"/>
    <s v="Orphanage"/>
    <n v="55"/>
    <m/>
    <x v="14"/>
    <x v="6"/>
    <x v="1"/>
    <x v="6"/>
    <x v="5"/>
    <n v="-55"/>
    <x v="6"/>
  </r>
  <r>
    <d v="2021-07-24T00:00:00"/>
    <s v="Fuel"/>
    <n v="68.800000000000011"/>
    <m/>
    <x v="15"/>
    <x v="3"/>
    <x v="1"/>
    <x v="6"/>
    <x v="5"/>
    <n v="-68.800000000000011"/>
    <x v="6"/>
  </r>
  <r>
    <d v="2021-07-24T00:00:00"/>
    <s v="Drink"/>
    <n v="5"/>
    <m/>
    <x v="1"/>
    <x v="1"/>
    <x v="1"/>
    <x v="6"/>
    <x v="5"/>
    <n v="-5"/>
    <x v="6"/>
  </r>
  <r>
    <d v="2021-07-25T00:00:00"/>
    <s v="Drink"/>
    <n v="5"/>
    <m/>
    <x v="1"/>
    <x v="1"/>
    <x v="1"/>
    <x v="6"/>
    <x v="6"/>
    <n v="-5"/>
    <x v="6"/>
  </r>
  <r>
    <d v="2021-07-26T00:00:00"/>
    <s v="Drink"/>
    <n v="5"/>
    <m/>
    <x v="1"/>
    <x v="1"/>
    <x v="1"/>
    <x v="6"/>
    <x v="0"/>
    <n v="-5"/>
    <x v="6"/>
  </r>
  <r>
    <d v="2021-07-27T00:00:00"/>
    <s v="Drink"/>
    <n v="5"/>
    <m/>
    <x v="1"/>
    <x v="1"/>
    <x v="1"/>
    <x v="6"/>
    <x v="1"/>
    <n v="-5"/>
    <x v="6"/>
  </r>
  <r>
    <d v="2021-07-28T00:00:00"/>
    <s v="Drink"/>
    <n v="5"/>
    <m/>
    <x v="1"/>
    <x v="1"/>
    <x v="1"/>
    <x v="6"/>
    <x v="2"/>
    <n v="-5"/>
    <x v="6"/>
  </r>
  <r>
    <d v="2021-07-28T00:00:00"/>
    <s v="Green's"/>
    <n v="193"/>
    <m/>
    <x v="4"/>
    <x v="2"/>
    <x v="1"/>
    <x v="6"/>
    <x v="2"/>
    <n v="-193"/>
    <x v="6"/>
  </r>
  <r>
    <d v="2021-07-29T00:00:00"/>
    <s v="Trainers"/>
    <n v="130.80000000000001"/>
    <m/>
    <x v="7"/>
    <x v="4"/>
    <x v="1"/>
    <x v="6"/>
    <x v="3"/>
    <n v="-130.80000000000001"/>
    <x v="6"/>
  </r>
  <r>
    <d v="2021-07-29T00:00:00"/>
    <s v="Home décor"/>
    <n v="181.39999999999998"/>
    <m/>
    <x v="17"/>
    <x v="4"/>
    <x v="1"/>
    <x v="6"/>
    <x v="3"/>
    <n v="-181.39999999999998"/>
    <x v="6"/>
  </r>
  <r>
    <d v="2021-07-30T00:00:00"/>
    <s v="Fashionistas"/>
    <n v="151.19999999999999"/>
    <m/>
    <x v="7"/>
    <x v="4"/>
    <x v="1"/>
    <x v="6"/>
    <x v="4"/>
    <n v="-151.19999999999999"/>
    <x v="6"/>
  </r>
  <r>
    <d v="2021-07-30T00:00:00"/>
    <s v="Uba"/>
    <n v="29.300000000000004"/>
    <m/>
    <x v="9"/>
    <x v="3"/>
    <x v="1"/>
    <x v="6"/>
    <x v="4"/>
    <n v="-29.300000000000004"/>
    <x v="6"/>
  </r>
  <r>
    <d v="2021-07-30T00:00:00"/>
    <s v="Foodary"/>
    <n v="15"/>
    <m/>
    <x v="8"/>
    <x v="1"/>
    <x v="1"/>
    <x v="6"/>
    <x v="4"/>
    <n v="-15"/>
    <x v="6"/>
  </r>
  <r>
    <d v="2021-07-31T00:00:00"/>
    <s v="Drink"/>
    <n v="5"/>
    <m/>
    <x v="1"/>
    <x v="1"/>
    <x v="1"/>
    <x v="6"/>
    <x v="5"/>
    <n v="-5"/>
    <x v="6"/>
  </r>
  <r>
    <d v="2021-08-02T00:00:00"/>
    <s v="Drink"/>
    <n v="5"/>
    <m/>
    <x v="1"/>
    <x v="1"/>
    <x v="1"/>
    <x v="7"/>
    <x v="0"/>
    <n v="-5"/>
    <x v="7"/>
  </r>
  <r>
    <d v="2021-08-02T00:00:00"/>
    <s v="Data With Decision"/>
    <m/>
    <n v="5000"/>
    <x v="0"/>
    <x v="0"/>
    <x v="0"/>
    <x v="7"/>
    <x v="0"/>
    <n v="5000"/>
    <x v="7"/>
  </r>
  <r>
    <d v="2021-08-03T00:00:00"/>
    <s v="Drink"/>
    <n v="5"/>
    <m/>
    <x v="1"/>
    <x v="1"/>
    <x v="1"/>
    <x v="7"/>
    <x v="1"/>
    <n v="-5"/>
    <x v="7"/>
  </r>
  <r>
    <d v="2021-08-05T00:00:00"/>
    <s v="Estate Mangement"/>
    <n v="900"/>
    <m/>
    <x v="2"/>
    <x v="2"/>
    <x v="1"/>
    <x v="7"/>
    <x v="3"/>
    <n v="-900"/>
    <x v="7"/>
  </r>
  <r>
    <d v="2021-08-05T00:00:00"/>
    <s v="Financail upgrade"/>
    <n v="150"/>
    <m/>
    <x v="3"/>
    <x v="3"/>
    <x v="1"/>
    <x v="7"/>
    <x v="3"/>
    <n v="-150"/>
    <x v="7"/>
  </r>
  <r>
    <d v="2021-08-05T00:00:00"/>
    <s v="Drink"/>
    <n v="5"/>
    <m/>
    <x v="1"/>
    <x v="1"/>
    <x v="1"/>
    <x v="7"/>
    <x v="3"/>
    <n v="-5"/>
    <x v="7"/>
  </r>
  <r>
    <d v="2021-08-05T00:00:00"/>
    <s v="Drink"/>
    <n v="5"/>
    <m/>
    <x v="1"/>
    <x v="1"/>
    <x v="1"/>
    <x v="7"/>
    <x v="3"/>
    <n v="-5"/>
    <x v="7"/>
  </r>
  <r>
    <d v="2021-08-06T00:00:00"/>
    <s v="Drink"/>
    <n v="5"/>
    <m/>
    <x v="1"/>
    <x v="1"/>
    <x v="1"/>
    <x v="7"/>
    <x v="4"/>
    <n v="-5"/>
    <x v="7"/>
  </r>
  <r>
    <d v="2021-08-07T00:00:00"/>
    <s v="Drink"/>
    <n v="5"/>
    <m/>
    <x v="1"/>
    <x v="1"/>
    <x v="1"/>
    <x v="7"/>
    <x v="5"/>
    <n v="-5"/>
    <x v="7"/>
  </r>
  <r>
    <d v="2021-08-07T00:00:00"/>
    <s v="Green's"/>
    <n v="137"/>
    <m/>
    <x v="4"/>
    <x v="2"/>
    <x v="1"/>
    <x v="7"/>
    <x v="5"/>
    <n v="-137"/>
    <x v="7"/>
  </r>
  <r>
    <d v="2021-08-10T00:00:00"/>
    <s v="Power source"/>
    <n v="57"/>
    <m/>
    <x v="5"/>
    <x v="2"/>
    <x v="1"/>
    <x v="7"/>
    <x v="1"/>
    <n v="-57"/>
    <x v="7"/>
  </r>
  <r>
    <d v="2021-08-10T00:00:00"/>
    <s v="Drink"/>
    <n v="5"/>
    <m/>
    <x v="1"/>
    <x v="1"/>
    <x v="1"/>
    <x v="7"/>
    <x v="1"/>
    <n v="-5"/>
    <x v="7"/>
  </r>
  <r>
    <d v="2021-08-11T00:00:00"/>
    <s v="Drink"/>
    <n v="5"/>
    <m/>
    <x v="1"/>
    <x v="1"/>
    <x v="1"/>
    <x v="7"/>
    <x v="2"/>
    <n v="-5"/>
    <x v="7"/>
  </r>
  <r>
    <d v="2021-08-12T00:00:00"/>
    <s v="Fuel"/>
    <n v="84.199999999999989"/>
    <m/>
    <x v="15"/>
    <x v="3"/>
    <x v="1"/>
    <x v="7"/>
    <x v="3"/>
    <n v="-84.199999999999989"/>
    <x v="7"/>
  </r>
  <r>
    <d v="2021-08-12T00:00:00"/>
    <s v="Drink"/>
    <n v="5"/>
    <m/>
    <x v="1"/>
    <x v="1"/>
    <x v="1"/>
    <x v="7"/>
    <x v="3"/>
    <n v="-5"/>
    <x v="7"/>
  </r>
  <r>
    <d v="2021-08-13T00:00:00"/>
    <s v="Drink"/>
    <n v="5"/>
    <m/>
    <x v="1"/>
    <x v="1"/>
    <x v="1"/>
    <x v="7"/>
    <x v="4"/>
    <n v="-5"/>
    <x v="7"/>
  </r>
  <r>
    <d v="2021-08-14T00:00:00"/>
    <s v="Green's"/>
    <n v="142.1"/>
    <m/>
    <x v="4"/>
    <x v="2"/>
    <x v="1"/>
    <x v="7"/>
    <x v="5"/>
    <n v="-142.1"/>
    <x v="7"/>
  </r>
  <r>
    <d v="2021-08-14T00:00:00"/>
    <s v="Drink"/>
    <n v="5"/>
    <m/>
    <x v="1"/>
    <x v="1"/>
    <x v="1"/>
    <x v="7"/>
    <x v="5"/>
    <n v="-5"/>
    <x v="7"/>
  </r>
  <r>
    <d v="2021-08-15T00:00:00"/>
    <s v="Drink"/>
    <n v="5"/>
    <m/>
    <x v="1"/>
    <x v="1"/>
    <x v="1"/>
    <x v="7"/>
    <x v="6"/>
    <n v="-5"/>
    <x v="7"/>
  </r>
  <r>
    <d v="2021-08-15T00:00:00"/>
    <s v="Cinemas"/>
    <n v="46.8"/>
    <m/>
    <x v="6"/>
    <x v="4"/>
    <x v="1"/>
    <x v="7"/>
    <x v="6"/>
    <n v="-46.8"/>
    <x v="7"/>
  </r>
  <r>
    <d v="2021-08-15T00:00:00"/>
    <s v="Fashionistas"/>
    <n v="104.70000000000002"/>
    <m/>
    <x v="7"/>
    <x v="4"/>
    <x v="1"/>
    <x v="7"/>
    <x v="6"/>
    <n v="-104.70000000000002"/>
    <x v="7"/>
  </r>
  <r>
    <d v="2021-08-15T00:00:00"/>
    <s v="Burger"/>
    <n v="59.1"/>
    <m/>
    <x v="8"/>
    <x v="1"/>
    <x v="1"/>
    <x v="7"/>
    <x v="6"/>
    <n v="-59.1"/>
    <x v="7"/>
  </r>
  <r>
    <d v="2021-08-16T00:00:00"/>
    <s v="Uba"/>
    <n v="35.1"/>
    <m/>
    <x v="9"/>
    <x v="3"/>
    <x v="1"/>
    <x v="7"/>
    <x v="0"/>
    <n v="-35.1"/>
    <x v="7"/>
  </r>
  <r>
    <d v="2021-08-17T00:00:00"/>
    <s v="Onlne earning"/>
    <m/>
    <n v="800"/>
    <x v="10"/>
    <x v="5"/>
    <x v="0"/>
    <x v="7"/>
    <x v="1"/>
    <n v="800"/>
    <x v="7"/>
  </r>
  <r>
    <d v="2021-08-17T00:00:00"/>
    <s v="Drink"/>
    <n v="5"/>
    <m/>
    <x v="1"/>
    <x v="1"/>
    <x v="1"/>
    <x v="7"/>
    <x v="1"/>
    <n v="-5"/>
    <x v="7"/>
  </r>
  <r>
    <d v="2021-08-18T00:00:00"/>
    <s v="Drink"/>
    <n v="5"/>
    <m/>
    <x v="1"/>
    <x v="1"/>
    <x v="1"/>
    <x v="7"/>
    <x v="2"/>
    <n v="-5"/>
    <x v="7"/>
  </r>
  <r>
    <d v="2021-08-18T00:00:00"/>
    <s v="Phone"/>
    <n v="40"/>
    <m/>
    <x v="12"/>
    <x v="2"/>
    <x v="1"/>
    <x v="7"/>
    <x v="2"/>
    <n v="-40"/>
    <x v="7"/>
  </r>
  <r>
    <d v="2021-08-19T00:00:00"/>
    <s v="Sallah give away"/>
    <n v="52.1"/>
    <m/>
    <x v="13"/>
    <x v="4"/>
    <x v="1"/>
    <x v="7"/>
    <x v="3"/>
    <n v="-52.1"/>
    <x v="7"/>
  </r>
  <r>
    <d v="2021-08-19T00:00:00"/>
    <s v="Online streaming"/>
    <n v="35"/>
    <m/>
    <x v="6"/>
    <x v="4"/>
    <x v="1"/>
    <x v="7"/>
    <x v="3"/>
    <n v="-35"/>
    <x v="7"/>
  </r>
  <r>
    <d v="2021-08-19T00:00:00"/>
    <s v="Drink"/>
    <n v="5"/>
    <m/>
    <x v="1"/>
    <x v="1"/>
    <x v="1"/>
    <x v="7"/>
    <x v="3"/>
    <n v="-5"/>
    <x v="7"/>
  </r>
  <r>
    <d v="2021-08-20T00:00:00"/>
    <s v="Drink"/>
    <n v="5"/>
    <m/>
    <x v="1"/>
    <x v="1"/>
    <x v="1"/>
    <x v="7"/>
    <x v="4"/>
    <n v="-5"/>
    <x v="7"/>
  </r>
  <r>
    <d v="2021-08-21T00:00:00"/>
    <s v="Drink"/>
    <n v="5"/>
    <m/>
    <x v="1"/>
    <x v="1"/>
    <x v="1"/>
    <x v="7"/>
    <x v="5"/>
    <n v="-5"/>
    <x v="7"/>
  </r>
  <r>
    <d v="2021-08-21T00:00:00"/>
    <s v="Green's"/>
    <n v="177"/>
    <m/>
    <x v="4"/>
    <x v="2"/>
    <x v="1"/>
    <x v="7"/>
    <x v="5"/>
    <n v="-177"/>
    <x v="7"/>
  </r>
  <r>
    <d v="2021-08-22T00:00:00"/>
    <s v="Suya"/>
    <n v="44.2"/>
    <m/>
    <x v="8"/>
    <x v="1"/>
    <x v="1"/>
    <x v="7"/>
    <x v="6"/>
    <n v="-44.2"/>
    <x v="7"/>
  </r>
  <r>
    <d v="2021-08-23T00:00:00"/>
    <s v="Oha soup/White soup"/>
    <n v="19.2"/>
    <m/>
    <x v="8"/>
    <x v="1"/>
    <x v="1"/>
    <x v="7"/>
    <x v="0"/>
    <n v="-19.2"/>
    <x v="7"/>
  </r>
  <r>
    <d v="2021-08-24T00:00:00"/>
    <s v="Orphanage"/>
    <n v="55"/>
    <m/>
    <x v="14"/>
    <x v="6"/>
    <x v="1"/>
    <x v="7"/>
    <x v="1"/>
    <n v="-55"/>
    <x v="7"/>
  </r>
  <r>
    <d v="2021-08-24T00:00:00"/>
    <s v="Fuel"/>
    <n v="69.700000000000017"/>
    <m/>
    <x v="15"/>
    <x v="3"/>
    <x v="1"/>
    <x v="7"/>
    <x v="1"/>
    <n v="-69.700000000000017"/>
    <x v="7"/>
  </r>
  <r>
    <d v="2021-08-24T00:00:00"/>
    <s v="Drink"/>
    <n v="5"/>
    <m/>
    <x v="1"/>
    <x v="1"/>
    <x v="1"/>
    <x v="7"/>
    <x v="1"/>
    <n v="-5"/>
    <x v="7"/>
  </r>
  <r>
    <d v="2021-08-25T00:00:00"/>
    <s v="Drink"/>
    <n v="5"/>
    <m/>
    <x v="1"/>
    <x v="1"/>
    <x v="1"/>
    <x v="7"/>
    <x v="2"/>
    <n v="-5"/>
    <x v="7"/>
  </r>
  <r>
    <d v="2021-08-26T00:00:00"/>
    <s v="Drink"/>
    <n v="5"/>
    <m/>
    <x v="1"/>
    <x v="1"/>
    <x v="1"/>
    <x v="7"/>
    <x v="3"/>
    <n v="-5"/>
    <x v="7"/>
  </r>
  <r>
    <d v="2021-08-27T00:00:00"/>
    <s v="Drink"/>
    <n v="5"/>
    <m/>
    <x v="1"/>
    <x v="1"/>
    <x v="1"/>
    <x v="7"/>
    <x v="4"/>
    <n v="-5"/>
    <x v="7"/>
  </r>
  <r>
    <d v="2021-08-28T00:00:00"/>
    <s v="Drink"/>
    <n v="5"/>
    <m/>
    <x v="1"/>
    <x v="1"/>
    <x v="1"/>
    <x v="7"/>
    <x v="5"/>
    <n v="-5"/>
    <x v="7"/>
  </r>
  <r>
    <d v="2021-08-28T00:00:00"/>
    <s v="Green's"/>
    <n v="117"/>
    <m/>
    <x v="4"/>
    <x v="2"/>
    <x v="1"/>
    <x v="7"/>
    <x v="5"/>
    <n v="-117"/>
    <x v="7"/>
  </r>
  <r>
    <d v="2021-08-29T00:00:00"/>
    <s v="Trainers"/>
    <n v="131.9"/>
    <m/>
    <x v="7"/>
    <x v="4"/>
    <x v="1"/>
    <x v="7"/>
    <x v="6"/>
    <n v="-131.9"/>
    <x v="7"/>
  </r>
  <r>
    <d v="2021-08-29T00:00:00"/>
    <s v="Hangingout/Ticket"/>
    <n v="182.39999999999998"/>
    <m/>
    <x v="6"/>
    <x v="4"/>
    <x v="1"/>
    <x v="7"/>
    <x v="6"/>
    <n v="-182.39999999999998"/>
    <x v="7"/>
  </r>
  <r>
    <d v="2021-08-30T00:00:00"/>
    <s v="Fashionistas"/>
    <n v="152.29999999999998"/>
    <m/>
    <x v="7"/>
    <x v="4"/>
    <x v="1"/>
    <x v="7"/>
    <x v="0"/>
    <n v="-152.29999999999998"/>
    <x v="7"/>
  </r>
  <r>
    <d v="2021-08-30T00:00:00"/>
    <s v="Uba"/>
    <n v="30.300000000000004"/>
    <m/>
    <x v="9"/>
    <x v="3"/>
    <x v="1"/>
    <x v="7"/>
    <x v="0"/>
    <n v="-30.300000000000004"/>
    <x v="7"/>
  </r>
  <r>
    <d v="2021-08-30T00:00:00"/>
    <s v="Foodary"/>
    <n v="15"/>
    <m/>
    <x v="8"/>
    <x v="1"/>
    <x v="1"/>
    <x v="7"/>
    <x v="0"/>
    <n v="-15"/>
    <x v="7"/>
  </r>
  <r>
    <d v="2021-08-31T00:00:00"/>
    <s v="Drink"/>
    <n v="5"/>
    <m/>
    <x v="1"/>
    <x v="1"/>
    <x v="1"/>
    <x v="7"/>
    <x v="1"/>
    <n v="-5"/>
    <x v="7"/>
  </r>
  <r>
    <d v="2021-09-02T00:00:00"/>
    <s v="Drink"/>
    <n v="5"/>
    <m/>
    <x v="1"/>
    <x v="1"/>
    <x v="1"/>
    <x v="8"/>
    <x v="3"/>
    <n v="-5"/>
    <x v="8"/>
  </r>
  <r>
    <d v="2021-09-02T00:00:00"/>
    <s v="Data With Decision"/>
    <m/>
    <n v="5000"/>
    <x v="0"/>
    <x v="0"/>
    <x v="0"/>
    <x v="8"/>
    <x v="3"/>
    <n v="5000"/>
    <x v="8"/>
  </r>
  <r>
    <d v="2021-09-03T00:00:00"/>
    <s v="Drink"/>
    <n v="5"/>
    <m/>
    <x v="1"/>
    <x v="1"/>
    <x v="1"/>
    <x v="8"/>
    <x v="4"/>
    <n v="-5"/>
    <x v="8"/>
  </r>
  <r>
    <d v="2021-09-05T00:00:00"/>
    <s v="Estate Mangement"/>
    <n v="900"/>
    <m/>
    <x v="2"/>
    <x v="2"/>
    <x v="1"/>
    <x v="8"/>
    <x v="6"/>
    <n v="-900"/>
    <x v="8"/>
  </r>
  <r>
    <d v="2021-09-05T00:00:00"/>
    <s v="Financail upgrade"/>
    <n v="150"/>
    <m/>
    <x v="3"/>
    <x v="3"/>
    <x v="1"/>
    <x v="8"/>
    <x v="6"/>
    <n v="-150"/>
    <x v="8"/>
  </r>
  <r>
    <d v="2021-09-05T00:00:00"/>
    <s v="Drink"/>
    <n v="5"/>
    <m/>
    <x v="1"/>
    <x v="1"/>
    <x v="1"/>
    <x v="8"/>
    <x v="6"/>
    <n v="-5"/>
    <x v="8"/>
  </r>
  <r>
    <d v="2021-09-05T00:00:00"/>
    <s v="Drink"/>
    <n v="5"/>
    <m/>
    <x v="1"/>
    <x v="1"/>
    <x v="1"/>
    <x v="8"/>
    <x v="6"/>
    <n v="-5"/>
    <x v="8"/>
  </r>
  <r>
    <d v="2021-09-06T00:00:00"/>
    <s v="Drink"/>
    <n v="5"/>
    <m/>
    <x v="1"/>
    <x v="1"/>
    <x v="1"/>
    <x v="8"/>
    <x v="0"/>
    <n v="-5"/>
    <x v="8"/>
  </r>
  <r>
    <d v="2021-09-07T00:00:00"/>
    <s v="Drink"/>
    <n v="5"/>
    <m/>
    <x v="1"/>
    <x v="1"/>
    <x v="1"/>
    <x v="8"/>
    <x v="1"/>
    <n v="-5"/>
    <x v="8"/>
  </r>
  <r>
    <d v="2021-09-07T00:00:00"/>
    <s v="Green's"/>
    <n v="163.39999999999998"/>
    <m/>
    <x v="4"/>
    <x v="2"/>
    <x v="1"/>
    <x v="8"/>
    <x v="1"/>
    <n v="-163.39999999999998"/>
    <x v="8"/>
  </r>
  <r>
    <d v="2021-09-10T00:00:00"/>
    <s v="Power source"/>
    <n v="58.1"/>
    <m/>
    <x v="5"/>
    <x v="2"/>
    <x v="1"/>
    <x v="8"/>
    <x v="4"/>
    <n v="-58.1"/>
    <x v="8"/>
  </r>
  <r>
    <d v="2021-09-10T00:00:00"/>
    <s v="Drink"/>
    <n v="5"/>
    <m/>
    <x v="1"/>
    <x v="1"/>
    <x v="1"/>
    <x v="8"/>
    <x v="4"/>
    <n v="-5"/>
    <x v="8"/>
  </r>
  <r>
    <d v="2021-09-11T00:00:00"/>
    <s v="Drink"/>
    <n v="5"/>
    <m/>
    <x v="1"/>
    <x v="1"/>
    <x v="1"/>
    <x v="8"/>
    <x v="5"/>
    <n v="-5"/>
    <x v="8"/>
  </r>
  <r>
    <d v="2021-09-12T00:00:00"/>
    <s v="Fuel"/>
    <n v="85.299999999999983"/>
    <m/>
    <x v="15"/>
    <x v="3"/>
    <x v="1"/>
    <x v="8"/>
    <x v="6"/>
    <n v="-85.299999999999983"/>
    <x v="8"/>
  </r>
  <r>
    <d v="2021-09-12T00:00:00"/>
    <s v="Drink"/>
    <n v="5"/>
    <m/>
    <x v="1"/>
    <x v="1"/>
    <x v="1"/>
    <x v="8"/>
    <x v="6"/>
    <n v="-5"/>
    <x v="8"/>
  </r>
  <r>
    <d v="2021-09-13T00:00:00"/>
    <s v="Drink"/>
    <n v="5"/>
    <m/>
    <x v="1"/>
    <x v="1"/>
    <x v="1"/>
    <x v="8"/>
    <x v="0"/>
    <n v="-5"/>
    <x v="8"/>
  </r>
  <r>
    <d v="2021-09-14T00:00:00"/>
    <s v="Green's"/>
    <n v="143"/>
    <m/>
    <x v="4"/>
    <x v="2"/>
    <x v="1"/>
    <x v="8"/>
    <x v="1"/>
    <n v="-143"/>
    <x v="8"/>
  </r>
  <r>
    <d v="2021-09-14T00:00:00"/>
    <s v="Drink"/>
    <n v="5"/>
    <m/>
    <x v="1"/>
    <x v="1"/>
    <x v="1"/>
    <x v="8"/>
    <x v="1"/>
    <n v="-5"/>
    <x v="8"/>
  </r>
  <r>
    <d v="2021-09-15T00:00:00"/>
    <s v="Drink"/>
    <n v="5"/>
    <m/>
    <x v="1"/>
    <x v="1"/>
    <x v="1"/>
    <x v="8"/>
    <x v="2"/>
    <n v="-5"/>
    <x v="8"/>
  </r>
  <r>
    <d v="2021-09-15T00:00:00"/>
    <s v="Cinemas"/>
    <n v="47.8"/>
    <m/>
    <x v="6"/>
    <x v="4"/>
    <x v="1"/>
    <x v="8"/>
    <x v="2"/>
    <n v="-47.8"/>
    <x v="8"/>
  </r>
  <r>
    <d v="2021-09-15T00:00:00"/>
    <s v="Fashionistas"/>
    <n v="105.80000000000001"/>
    <m/>
    <x v="7"/>
    <x v="4"/>
    <x v="1"/>
    <x v="8"/>
    <x v="2"/>
    <n v="-105.80000000000001"/>
    <x v="8"/>
  </r>
  <r>
    <d v="2021-09-15T00:00:00"/>
    <s v="Burger"/>
    <n v="60.1"/>
    <m/>
    <x v="8"/>
    <x v="1"/>
    <x v="1"/>
    <x v="8"/>
    <x v="2"/>
    <n v="-60.1"/>
    <x v="8"/>
  </r>
  <r>
    <d v="2021-09-16T00:00:00"/>
    <s v="Uba"/>
    <n v="36.200000000000003"/>
    <m/>
    <x v="9"/>
    <x v="3"/>
    <x v="1"/>
    <x v="8"/>
    <x v="3"/>
    <n v="-36.200000000000003"/>
    <x v="8"/>
  </r>
  <r>
    <d v="2021-09-17T00:00:00"/>
    <s v="Onlne earning"/>
    <m/>
    <n v="100"/>
    <x v="10"/>
    <x v="5"/>
    <x v="0"/>
    <x v="8"/>
    <x v="4"/>
    <n v="100"/>
    <x v="8"/>
  </r>
  <r>
    <d v="2021-09-17T00:00:00"/>
    <s v="Drink"/>
    <n v="5"/>
    <m/>
    <x v="1"/>
    <x v="1"/>
    <x v="1"/>
    <x v="8"/>
    <x v="4"/>
    <n v="-5"/>
    <x v="8"/>
  </r>
  <r>
    <d v="2021-09-18T00:00:00"/>
    <s v="Drink"/>
    <n v="5"/>
    <m/>
    <x v="1"/>
    <x v="1"/>
    <x v="1"/>
    <x v="8"/>
    <x v="5"/>
    <n v="-5"/>
    <x v="8"/>
  </r>
  <r>
    <d v="2021-09-18T00:00:00"/>
    <s v="Phone"/>
    <n v="40"/>
    <m/>
    <x v="12"/>
    <x v="2"/>
    <x v="1"/>
    <x v="8"/>
    <x v="5"/>
    <n v="-40"/>
    <x v="8"/>
  </r>
  <r>
    <d v="2021-09-19T00:00:00"/>
    <s v="Sallah give away"/>
    <n v="53"/>
    <m/>
    <x v="13"/>
    <x v="4"/>
    <x v="1"/>
    <x v="8"/>
    <x v="6"/>
    <n v="-53"/>
    <x v="8"/>
  </r>
  <r>
    <d v="2021-09-19T00:00:00"/>
    <s v="Online streaming"/>
    <n v="35"/>
    <m/>
    <x v="6"/>
    <x v="4"/>
    <x v="1"/>
    <x v="8"/>
    <x v="6"/>
    <n v="-35"/>
    <x v="8"/>
  </r>
  <r>
    <d v="2021-09-19T00:00:00"/>
    <s v="Drink"/>
    <n v="5"/>
    <m/>
    <x v="1"/>
    <x v="1"/>
    <x v="1"/>
    <x v="8"/>
    <x v="6"/>
    <n v="-5"/>
    <x v="8"/>
  </r>
  <r>
    <d v="2021-09-20T00:00:00"/>
    <s v="Drink"/>
    <n v="5"/>
    <m/>
    <x v="1"/>
    <x v="1"/>
    <x v="1"/>
    <x v="8"/>
    <x v="0"/>
    <n v="-5"/>
    <x v="8"/>
  </r>
  <r>
    <d v="2021-09-21T00:00:00"/>
    <s v="Drink"/>
    <n v="5"/>
    <m/>
    <x v="1"/>
    <x v="1"/>
    <x v="1"/>
    <x v="8"/>
    <x v="1"/>
    <n v="-5"/>
    <x v="8"/>
  </r>
  <r>
    <d v="2021-09-21T00:00:00"/>
    <s v="Green's"/>
    <n v="177.9"/>
    <m/>
    <x v="4"/>
    <x v="2"/>
    <x v="1"/>
    <x v="8"/>
    <x v="1"/>
    <n v="-177.9"/>
    <x v="8"/>
  </r>
  <r>
    <d v="2021-09-22T00:00:00"/>
    <s v="Suya"/>
    <n v="45.300000000000004"/>
    <m/>
    <x v="8"/>
    <x v="1"/>
    <x v="1"/>
    <x v="8"/>
    <x v="2"/>
    <n v="-45.300000000000004"/>
    <x v="8"/>
  </r>
  <r>
    <d v="2021-09-23T00:00:00"/>
    <s v="Oha soup/White soup"/>
    <n v="20.099999999999998"/>
    <m/>
    <x v="8"/>
    <x v="1"/>
    <x v="1"/>
    <x v="8"/>
    <x v="3"/>
    <n v="-20.099999999999998"/>
    <x v="8"/>
  </r>
  <r>
    <d v="2021-09-24T00:00:00"/>
    <s v="Orphanage"/>
    <n v="55"/>
    <m/>
    <x v="14"/>
    <x v="6"/>
    <x v="1"/>
    <x v="8"/>
    <x v="4"/>
    <n v="-55"/>
    <x v="8"/>
  </r>
  <r>
    <d v="2021-09-24T00:00:00"/>
    <s v="Fuel"/>
    <n v="70.600000000000023"/>
    <m/>
    <x v="15"/>
    <x v="3"/>
    <x v="1"/>
    <x v="8"/>
    <x v="4"/>
    <n v="-70.600000000000023"/>
    <x v="8"/>
  </r>
  <r>
    <d v="2021-09-24T00:00:00"/>
    <s v="Drink"/>
    <n v="5"/>
    <m/>
    <x v="1"/>
    <x v="1"/>
    <x v="1"/>
    <x v="8"/>
    <x v="4"/>
    <n v="-5"/>
    <x v="8"/>
  </r>
  <r>
    <d v="2021-09-25T00:00:00"/>
    <s v="Drink"/>
    <n v="5"/>
    <m/>
    <x v="1"/>
    <x v="1"/>
    <x v="1"/>
    <x v="8"/>
    <x v="5"/>
    <n v="-5"/>
    <x v="8"/>
  </r>
  <r>
    <d v="2021-09-26T00:00:00"/>
    <s v="Drink"/>
    <n v="5"/>
    <m/>
    <x v="1"/>
    <x v="1"/>
    <x v="1"/>
    <x v="8"/>
    <x v="6"/>
    <n v="-5"/>
    <x v="8"/>
  </r>
  <r>
    <d v="2021-09-27T00:00:00"/>
    <s v="Drink"/>
    <n v="5"/>
    <m/>
    <x v="1"/>
    <x v="1"/>
    <x v="1"/>
    <x v="8"/>
    <x v="0"/>
    <n v="-5"/>
    <x v="8"/>
  </r>
  <r>
    <d v="2021-09-28T00:00:00"/>
    <s v="Drink"/>
    <n v="5"/>
    <m/>
    <x v="1"/>
    <x v="1"/>
    <x v="1"/>
    <x v="8"/>
    <x v="1"/>
    <n v="-5"/>
    <x v="8"/>
  </r>
  <r>
    <d v="2021-09-28T00:00:00"/>
    <s v="Green's"/>
    <n v="223"/>
    <m/>
    <x v="4"/>
    <x v="2"/>
    <x v="1"/>
    <x v="8"/>
    <x v="1"/>
    <n v="-223"/>
    <x v="8"/>
  </r>
  <r>
    <d v="2021-09-29T00:00:00"/>
    <s v="Trainers"/>
    <n v="132.9"/>
    <m/>
    <x v="7"/>
    <x v="4"/>
    <x v="1"/>
    <x v="8"/>
    <x v="2"/>
    <n v="-132.9"/>
    <x v="8"/>
  </r>
  <r>
    <d v="2021-09-29T00:00:00"/>
    <s v="Global Fashion"/>
    <n v="175"/>
    <m/>
    <x v="7"/>
    <x v="4"/>
    <x v="1"/>
    <x v="8"/>
    <x v="2"/>
    <n v="-175"/>
    <x v="8"/>
  </r>
  <r>
    <d v="2021-09-30T00:00:00"/>
    <s v="Fashionistas"/>
    <n v="153.39999999999998"/>
    <m/>
    <x v="7"/>
    <x v="4"/>
    <x v="1"/>
    <x v="8"/>
    <x v="3"/>
    <n v="-153.39999999999998"/>
    <x v="8"/>
  </r>
  <r>
    <d v="2021-09-30T00:00:00"/>
    <s v="Uba"/>
    <n v="31.200000000000003"/>
    <m/>
    <x v="9"/>
    <x v="3"/>
    <x v="1"/>
    <x v="8"/>
    <x v="3"/>
    <n v="-31.200000000000003"/>
    <x v="8"/>
  </r>
  <r>
    <d v="2021-09-30T00:00:00"/>
    <s v="Foodary"/>
    <n v="15"/>
    <m/>
    <x v="8"/>
    <x v="1"/>
    <x v="1"/>
    <x v="8"/>
    <x v="3"/>
    <n v="-15"/>
    <x v="8"/>
  </r>
  <r>
    <d v="2021-10-01T00:00:00"/>
    <s v="Drink"/>
    <n v="5"/>
    <m/>
    <x v="1"/>
    <x v="1"/>
    <x v="1"/>
    <x v="9"/>
    <x v="4"/>
    <n v="-5"/>
    <x v="9"/>
  </r>
  <r>
    <d v="2021-10-03T00:00:00"/>
    <s v="Drink"/>
    <n v="5"/>
    <m/>
    <x v="1"/>
    <x v="1"/>
    <x v="1"/>
    <x v="9"/>
    <x v="6"/>
    <n v="-5"/>
    <x v="9"/>
  </r>
  <r>
    <d v="2021-10-03T00:00:00"/>
    <s v="Data With Decision"/>
    <m/>
    <n v="5000"/>
    <x v="0"/>
    <x v="0"/>
    <x v="0"/>
    <x v="9"/>
    <x v="6"/>
    <n v="5000"/>
    <x v="9"/>
  </r>
  <r>
    <d v="2021-10-04T00:00:00"/>
    <s v="Drink"/>
    <n v="5"/>
    <m/>
    <x v="1"/>
    <x v="1"/>
    <x v="1"/>
    <x v="9"/>
    <x v="0"/>
    <n v="-5"/>
    <x v="9"/>
  </r>
  <r>
    <d v="2021-10-06T00:00:00"/>
    <s v="Estate Mangement"/>
    <n v="900"/>
    <m/>
    <x v="2"/>
    <x v="2"/>
    <x v="1"/>
    <x v="9"/>
    <x v="2"/>
    <n v="-900"/>
    <x v="9"/>
  </r>
  <r>
    <d v="2021-10-06T00:00:00"/>
    <s v="Financail upgrade"/>
    <n v="150"/>
    <m/>
    <x v="3"/>
    <x v="3"/>
    <x v="1"/>
    <x v="9"/>
    <x v="2"/>
    <n v="-150"/>
    <x v="9"/>
  </r>
  <r>
    <d v="2021-10-06T00:00:00"/>
    <s v="Drink"/>
    <n v="5"/>
    <m/>
    <x v="1"/>
    <x v="1"/>
    <x v="1"/>
    <x v="9"/>
    <x v="2"/>
    <n v="-5"/>
    <x v="9"/>
  </r>
  <r>
    <d v="2021-10-06T00:00:00"/>
    <s v="Drink"/>
    <n v="5"/>
    <m/>
    <x v="1"/>
    <x v="1"/>
    <x v="1"/>
    <x v="9"/>
    <x v="2"/>
    <n v="-5"/>
    <x v="9"/>
  </r>
  <r>
    <d v="2021-10-07T00:00:00"/>
    <s v="Drink"/>
    <n v="5"/>
    <m/>
    <x v="1"/>
    <x v="1"/>
    <x v="1"/>
    <x v="9"/>
    <x v="3"/>
    <n v="-5"/>
    <x v="9"/>
  </r>
  <r>
    <d v="2021-10-08T00:00:00"/>
    <s v="Drink"/>
    <n v="5"/>
    <m/>
    <x v="1"/>
    <x v="1"/>
    <x v="1"/>
    <x v="9"/>
    <x v="4"/>
    <n v="-5"/>
    <x v="9"/>
  </r>
  <r>
    <d v="2021-10-08T00:00:00"/>
    <s v="Green's"/>
    <n v="105"/>
    <m/>
    <x v="4"/>
    <x v="2"/>
    <x v="1"/>
    <x v="9"/>
    <x v="4"/>
    <n v="-105"/>
    <x v="9"/>
  </r>
  <r>
    <d v="2021-10-11T00:00:00"/>
    <s v="Power source"/>
    <n v="59"/>
    <m/>
    <x v="5"/>
    <x v="2"/>
    <x v="1"/>
    <x v="9"/>
    <x v="0"/>
    <n v="-59"/>
    <x v="9"/>
  </r>
  <r>
    <d v="2021-10-11T00:00:00"/>
    <s v="Drink"/>
    <n v="5"/>
    <m/>
    <x v="1"/>
    <x v="1"/>
    <x v="1"/>
    <x v="9"/>
    <x v="0"/>
    <n v="-5"/>
    <x v="9"/>
  </r>
  <r>
    <d v="2021-10-12T00:00:00"/>
    <s v="Drink"/>
    <n v="5"/>
    <m/>
    <x v="1"/>
    <x v="1"/>
    <x v="1"/>
    <x v="9"/>
    <x v="1"/>
    <n v="-5"/>
    <x v="9"/>
  </r>
  <r>
    <d v="2021-10-13T00:00:00"/>
    <s v="Fuel"/>
    <n v="86.399999999999977"/>
    <m/>
    <x v="15"/>
    <x v="3"/>
    <x v="1"/>
    <x v="9"/>
    <x v="2"/>
    <n v="-86.399999999999977"/>
    <x v="9"/>
  </r>
  <r>
    <d v="2021-10-13T00:00:00"/>
    <s v="Drink"/>
    <n v="5"/>
    <m/>
    <x v="1"/>
    <x v="1"/>
    <x v="1"/>
    <x v="9"/>
    <x v="2"/>
    <n v="-5"/>
    <x v="9"/>
  </r>
  <r>
    <d v="2021-10-14T00:00:00"/>
    <s v="Drink"/>
    <n v="5"/>
    <m/>
    <x v="1"/>
    <x v="1"/>
    <x v="1"/>
    <x v="9"/>
    <x v="3"/>
    <n v="-5"/>
    <x v="9"/>
  </r>
  <r>
    <d v="2021-10-15T00:00:00"/>
    <s v="Green's"/>
    <n v="143.9"/>
    <m/>
    <x v="4"/>
    <x v="2"/>
    <x v="1"/>
    <x v="9"/>
    <x v="4"/>
    <n v="-143.9"/>
    <x v="9"/>
  </r>
  <r>
    <d v="2021-10-15T00:00:00"/>
    <s v="Drink"/>
    <n v="5"/>
    <m/>
    <x v="1"/>
    <x v="1"/>
    <x v="1"/>
    <x v="9"/>
    <x v="4"/>
    <n v="-5"/>
    <x v="9"/>
  </r>
  <r>
    <d v="2021-10-16T00:00:00"/>
    <s v="Drink"/>
    <n v="5"/>
    <m/>
    <x v="1"/>
    <x v="1"/>
    <x v="1"/>
    <x v="9"/>
    <x v="5"/>
    <n v="-5"/>
    <x v="9"/>
  </r>
  <r>
    <d v="2021-10-16T00:00:00"/>
    <s v="Cinemas"/>
    <n v="48.8"/>
    <m/>
    <x v="6"/>
    <x v="4"/>
    <x v="1"/>
    <x v="9"/>
    <x v="5"/>
    <n v="-48.8"/>
    <x v="9"/>
  </r>
  <r>
    <d v="2021-10-16T00:00:00"/>
    <s v="Fashionistas"/>
    <n v="106.70000000000002"/>
    <m/>
    <x v="7"/>
    <x v="4"/>
    <x v="1"/>
    <x v="9"/>
    <x v="5"/>
    <n v="-106.70000000000002"/>
    <x v="9"/>
  </r>
  <r>
    <d v="2021-10-16T00:00:00"/>
    <s v="Burger"/>
    <n v="61.1"/>
    <m/>
    <x v="8"/>
    <x v="1"/>
    <x v="1"/>
    <x v="9"/>
    <x v="5"/>
    <n v="-61.1"/>
    <x v="9"/>
  </r>
  <r>
    <d v="2021-10-17T00:00:00"/>
    <s v="Uba"/>
    <n v="37.200000000000003"/>
    <m/>
    <x v="9"/>
    <x v="3"/>
    <x v="1"/>
    <x v="9"/>
    <x v="6"/>
    <n v="-37.200000000000003"/>
    <x v="9"/>
  </r>
  <r>
    <d v="2021-10-18T00:00:00"/>
    <s v="Onlne earning"/>
    <m/>
    <n v="100"/>
    <x v="10"/>
    <x v="5"/>
    <x v="0"/>
    <x v="9"/>
    <x v="0"/>
    <n v="100"/>
    <x v="9"/>
  </r>
  <r>
    <d v="2021-10-18T00:00:00"/>
    <s v="Drink"/>
    <n v="5"/>
    <m/>
    <x v="1"/>
    <x v="1"/>
    <x v="1"/>
    <x v="9"/>
    <x v="0"/>
    <n v="-5"/>
    <x v="9"/>
  </r>
  <r>
    <d v="2021-10-19T00:00:00"/>
    <s v="Drink"/>
    <n v="5"/>
    <m/>
    <x v="1"/>
    <x v="1"/>
    <x v="1"/>
    <x v="9"/>
    <x v="1"/>
    <n v="-5"/>
    <x v="9"/>
  </r>
  <r>
    <d v="2021-10-19T00:00:00"/>
    <s v="Taken medication"/>
    <n v="75"/>
    <m/>
    <x v="16"/>
    <x v="7"/>
    <x v="1"/>
    <x v="9"/>
    <x v="1"/>
    <n v="-75"/>
    <x v="9"/>
  </r>
  <r>
    <d v="2021-10-19T00:00:00"/>
    <s v="Phone"/>
    <n v="40"/>
    <m/>
    <x v="12"/>
    <x v="2"/>
    <x v="1"/>
    <x v="9"/>
    <x v="1"/>
    <n v="-40"/>
    <x v="9"/>
  </r>
  <r>
    <d v="2021-10-20T00:00:00"/>
    <s v="Sallah give away"/>
    <n v="54.1"/>
    <m/>
    <x v="13"/>
    <x v="4"/>
    <x v="1"/>
    <x v="9"/>
    <x v="2"/>
    <n v="-54.1"/>
    <x v="9"/>
  </r>
  <r>
    <d v="2021-10-20T00:00:00"/>
    <s v="Online streaming"/>
    <n v="35"/>
    <m/>
    <x v="6"/>
    <x v="4"/>
    <x v="1"/>
    <x v="9"/>
    <x v="2"/>
    <n v="-35"/>
    <x v="9"/>
  </r>
  <r>
    <d v="2021-10-20T00:00:00"/>
    <s v="Drink"/>
    <n v="5"/>
    <m/>
    <x v="1"/>
    <x v="1"/>
    <x v="1"/>
    <x v="9"/>
    <x v="2"/>
    <n v="-5"/>
    <x v="9"/>
  </r>
  <r>
    <d v="2021-10-21T00:00:00"/>
    <s v="Drink"/>
    <n v="5"/>
    <m/>
    <x v="1"/>
    <x v="1"/>
    <x v="1"/>
    <x v="9"/>
    <x v="3"/>
    <n v="-5"/>
    <x v="9"/>
  </r>
  <r>
    <d v="2021-10-22T00:00:00"/>
    <s v="Drink"/>
    <n v="5"/>
    <m/>
    <x v="1"/>
    <x v="1"/>
    <x v="1"/>
    <x v="9"/>
    <x v="4"/>
    <n v="-5"/>
    <x v="9"/>
  </r>
  <r>
    <d v="2021-10-22T00:00:00"/>
    <s v="Green's"/>
    <n v="178.9"/>
    <m/>
    <x v="4"/>
    <x v="2"/>
    <x v="1"/>
    <x v="9"/>
    <x v="4"/>
    <n v="-178.9"/>
    <x v="9"/>
  </r>
  <r>
    <d v="2021-10-23T00:00:00"/>
    <s v="Suya"/>
    <n v="46.2"/>
    <m/>
    <x v="8"/>
    <x v="1"/>
    <x v="1"/>
    <x v="9"/>
    <x v="5"/>
    <n v="-46.2"/>
    <x v="9"/>
  </r>
  <r>
    <d v="2021-10-24T00:00:00"/>
    <s v="Oha soup/White soup"/>
    <n v="21.099999999999998"/>
    <m/>
    <x v="8"/>
    <x v="1"/>
    <x v="1"/>
    <x v="9"/>
    <x v="6"/>
    <n v="-21.099999999999998"/>
    <x v="9"/>
  </r>
  <r>
    <d v="2021-10-25T00:00:00"/>
    <s v="Orphanage"/>
    <n v="55"/>
    <m/>
    <x v="14"/>
    <x v="6"/>
    <x v="1"/>
    <x v="9"/>
    <x v="0"/>
    <n v="-55"/>
    <x v="9"/>
  </r>
  <r>
    <d v="2021-10-25T00:00:00"/>
    <s v="Fuel"/>
    <n v="71.500000000000028"/>
    <m/>
    <x v="15"/>
    <x v="3"/>
    <x v="1"/>
    <x v="9"/>
    <x v="0"/>
    <n v="-71.500000000000028"/>
    <x v="9"/>
  </r>
  <r>
    <d v="2021-10-25T00:00:00"/>
    <s v="Drink"/>
    <n v="5"/>
    <m/>
    <x v="1"/>
    <x v="1"/>
    <x v="1"/>
    <x v="9"/>
    <x v="0"/>
    <n v="-5"/>
    <x v="9"/>
  </r>
  <r>
    <d v="2021-10-26T00:00:00"/>
    <s v="Drink"/>
    <n v="5"/>
    <m/>
    <x v="1"/>
    <x v="1"/>
    <x v="1"/>
    <x v="9"/>
    <x v="1"/>
    <n v="-5"/>
    <x v="9"/>
  </r>
  <r>
    <d v="2021-10-27T00:00:00"/>
    <s v="Drink"/>
    <n v="5"/>
    <m/>
    <x v="1"/>
    <x v="1"/>
    <x v="1"/>
    <x v="9"/>
    <x v="2"/>
    <n v="-5"/>
    <x v="9"/>
  </r>
  <r>
    <d v="2021-10-28T00:00:00"/>
    <s v="Drink"/>
    <n v="5"/>
    <m/>
    <x v="1"/>
    <x v="1"/>
    <x v="1"/>
    <x v="9"/>
    <x v="3"/>
    <n v="-5"/>
    <x v="9"/>
  </r>
  <r>
    <d v="2021-10-29T00:00:00"/>
    <s v="Drink"/>
    <n v="5"/>
    <m/>
    <x v="1"/>
    <x v="1"/>
    <x v="1"/>
    <x v="9"/>
    <x v="4"/>
    <n v="-5"/>
    <x v="9"/>
  </r>
  <r>
    <d v="2021-10-29T00:00:00"/>
    <s v="Green's"/>
    <n v="189"/>
    <m/>
    <x v="4"/>
    <x v="2"/>
    <x v="1"/>
    <x v="9"/>
    <x v="4"/>
    <n v="-189"/>
    <x v="9"/>
  </r>
  <r>
    <d v="2021-10-30T00:00:00"/>
    <s v="Trainers"/>
    <n v="133.80000000000001"/>
    <m/>
    <x v="7"/>
    <x v="4"/>
    <x v="1"/>
    <x v="9"/>
    <x v="5"/>
    <n v="-133.80000000000001"/>
    <x v="9"/>
  </r>
  <r>
    <d v="2021-10-30T00:00:00"/>
    <s v="Hangingout/Ticket"/>
    <n v="184.39999999999998"/>
    <m/>
    <x v="6"/>
    <x v="4"/>
    <x v="1"/>
    <x v="9"/>
    <x v="5"/>
    <n v="-184.39999999999998"/>
    <x v="9"/>
  </r>
  <r>
    <d v="2021-10-31T00:00:00"/>
    <s v="Fashionistas"/>
    <n v="154.49999999999997"/>
    <m/>
    <x v="7"/>
    <x v="4"/>
    <x v="1"/>
    <x v="9"/>
    <x v="6"/>
    <n v="-154.49999999999997"/>
    <x v="9"/>
  </r>
  <r>
    <d v="2021-10-31T00:00:00"/>
    <s v="Uba"/>
    <n v="32.1"/>
    <m/>
    <x v="9"/>
    <x v="3"/>
    <x v="1"/>
    <x v="9"/>
    <x v="6"/>
    <n v="-32.1"/>
    <x v="9"/>
  </r>
  <r>
    <d v="2021-10-31T00:00:00"/>
    <s v="Foodary"/>
    <n v="15"/>
    <m/>
    <x v="8"/>
    <x v="1"/>
    <x v="1"/>
    <x v="9"/>
    <x v="6"/>
    <n v="-15"/>
    <x v="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9C92CA6-59D6-4BB7-82A8-F7E3AD9D91C0}" name="PivotTable8"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G68:H75" firstHeaderRow="1" firstDataRow="1" firstDataCol="1" rowPageCount="1" colPageCount="1"/>
  <pivotFields count="11">
    <pivotField compact="0" numFmtId="164" outline="0" showAll="0"/>
    <pivotField compact="0" outline="0" showAll="0"/>
    <pivotField dataField="1" compact="0" outline="0" showAll="0"/>
    <pivotField compact="0" outline="0" showAll="0"/>
    <pivotField compact="0" outline="0" showAll="0"/>
    <pivotField axis="axisRow" compact="0" outline="0" showAll="0">
      <items count="9">
        <item x="0"/>
        <item x="5"/>
        <item x="2"/>
        <item x="4"/>
        <item x="3"/>
        <item x="1"/>
        <item x="6"/>
        <item x="7"/>
        <item t="default"/>
      </items>
    </pivotField>
    <pivotField axis="axisPage" compact="0" outline="0" multipleItemSelectionAllowed="1" showAll="0">
      <items count="3">
        <item x="1"/>
        <item h="1" x="0"/>
        <item t="default"/>
      </items>
    </pivotField>
    <pivotField compact="0" outline="0" showAll="0">
      <items count="11">
        <item h="1" x="0"/>
        <item h="1" x="1"/>
        <item h="1" x="2"/>
        <item h="1" x="3"/>
        <item h="1" x="4"/>
        <item h="1" x="5"/>
        <item x="6"/>
        <item h="1" x="7"/>
        <item h="1" x="8"/>
        <item h="1" x="9"/>
        <item t="default"/>
      </items>
    </pivotField>
    <pivotField compact="0" numFmtId="165" outline="0" showAll="0"/>
    <pivotField compact="0" outline="0" showAll="0"/>
    <pivotField compact="0" outline="0" showAll="0"/>
  </pivotFields>
  <rowFields count="1">
    <field x="5"/>
  </rowFields>
  <rowItems count="7">
    <i>
      <x v="2"/>
    </i>
    <i>
      <x v="3"/>
    </i>
    <i>
      <x v="4"/>
    </i>
    <i>
      <x v="5"/>
    </i>
    <i>
      <x v="6"/>
    </i>
    <i>
      <x v="7"/>
    </i>
    <i t="grand">
      <x/>
    </i>
  </rowItems>
  <colItems count="1">
    <i/>
  </colItems>
  <pageFields count="1">
    <pageField fld="6" hier="-1"/>
  </pageFields>
  <dataFields count="1">
    <dataField name="Sum of Debit" fld="2" baseField="0" baseItem="0"/>
  </dataFields>
  <formats count="1">
    <format dxfId="1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A308803-23C5-4519-B8E6-F5ABAE57E615}" name="PivotTable6" cacheId="0" applyNumberFormats="0" applyBorderFormats="0" applyFontFormats="0" applyPatternFormats="0" applyAlignmentFormats="0" applyWidthHeightFormats="1" dataCaption="Values" updatedVersion="6" minRefreshableVersion="3" useAutoFormatting="1" itemPrintTitles="1" createdVersion="8" indent="0" compact="0" compactData="0" multipleFieldFilters="0" chartFormat="9">
  <location ref="G40:H44" firstHeaderRow="1" firstDataRow="1" firstDataCol="1" rowPageCount="1" colPageCount="1"/>
  <pivotFields count="11">
    <pivotField compact="0" numFmtId="164" outline="0" showAll="0"/>
    <pivotField compact="0" outline="0" showAll="0"/>
    <pivotField compact="0" outline="0" showAll="0"/>
    <pivotField compact="0" outline="0" showAll="0"/>
    <pivotField axis="axisRow" compact="0" outline="0" showAll="0">
      <items count="19">
        <item x="3"/>
        <item x="7"/>
        <item x="1"/>
        <item n="DWD" x="0"/>
        <item x="16"/>
        <item x="14"/>
        <item x="6"/>
        <item x="15"/>
        <item x="17"/>
        <item x="5"/>
        <item x="13"/>
        <item x="4"/>
        <item x="12"/>
        <item x="2"/>
        <item x="8"/>
        <item x="9"/>
        <item x="11"/>
        <item x="10"/>
        <item t="default"/>
      </items>
    </pivotField>
    <pivotField compact="0" outline="0" showAll="0"/>
    <pivotField axis="axisPage" compact="0" outline="0" multipleItemSelectionAllowed="1" showAll="0">
      <items count="3">
        <item h="1" x="1"/>
        <item x="0"/>
        <item t="default"/>
      </items>
    </pivotField>
    <pivotField compact="0" outline="0" showAll="0">
      <items count="11">
        <item h="1" x="0"/>
        <item h="1" x="1"/>
        <item h="1" x="2"/>
        <item h="1" x="3"/>
        <item h="1" x="4"/>
        <item h="1" x="5"/>
        <item x="6"/>
        <item h="1" x="7"/>
        <item h="1" x="8"/>
        <item h="1" x="9"/>
        <item t="default"/>
      </items>
    </pivotField>
    <pivotField compact="0" numFmtId="165" outline="0" showAll="0"/>
    <pivotField dataField="1" compact="0" outline="0" showAll="0"/>
    <pivotField compact="0" outline="0" showAll="0"/>
  </pivotFields>
  <rowFields count="1">
    <field x="4"/>
  </rowFields>
  <rowItems count="4">
    <i>
      <x v="3"/>
    </i>
    <i>
      <x v="16"/>
    </i>
    <i>
      <x v="17"/>
    </i>
    <i t="grand">
      <x/>
    </i>
  </rowItems>
  <colItems count="1">
    <i/>
  </colItems>
  <pageFields count="1">
    <pageField fld="6" hier="-1"/>
  </pageFields>
  <dataFields count="1">
    <dataField name="Sum of Amount" fld="9" baseField="0" baseItem="0" numFmtId="166"/>
  </dataFields>
  <formats count="1">
    <format dxfId="7">
      <pivotArea outline="0" collapsedLevelsAreSubtotals="1" fieldPosition="0"/>
    </format>
  </formats>
  <chartFormats count="10">
    <chartFormat chart="0" format="2" series="1">
      <pivotArea type="data" outline="0" fieldPosition="0">
        <references count="1">
          <reference field="4294967294" count="1" selected="0">
            <x v="0"/>
          </reference>
        </references>
      </pivotArea>
    </chartFormat>
    <chartFormat chart="3" format="8"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8" format="5" series="1">
      <pivotArea type="data" outline="0" fieldPosition="0">
        <references count="1">
          <reference field="4294967294" count="1" selected="0">
            <x v="0"/>
          </reference>
        </references>
      </pivotArea>
    </chartFormat>
    <chartFormat chart="8" format="6">
      <pivotArea type="data" outline="0" fieldPosition="0">
        <references count="2">
          <reference field="4294967294" count="1" selected="0">
            <x v="0"/>
          </reference>
          <reference field="4" count="1" selected="0">
            <x v="3"/>
          </reference>
        </references>
      </pivotArea>
    </chartFormat>
    <chartFormat chart="8" format="7">
      <pivotArea type="data" outline="0" fieldPosition="0">
        <references count="2">
          <reference field="4294967294" count="1" selected="0">
            <x v="0"/>
          </reference>
          <reference field="4" count="1" selected="0">
            <x v="16"/>
          </reference>
        </references>
      </pivotArea>
    </chartFormat>
    <chartFormat chart="8" format="8">
      <pivotArea type="data" outline="0" fieldPosition="0">
        <references count="2">
          <reference field="4294967294" count="1" selected="0">
            <x v="0"/>
          </reference>
          <reference field="4" count="1" selected="0">
            <x v="17"/>
          </reference>
        </references>
      </pivotArea>
    </chartFormat>
    <chartFormat chart="4" format="1">
      <pivotArea type="data" outline="0" fieldPosition="0">
        <references count="2">
          <reference field="4294967294" count="1" selected="0">
            <x v="0"/>
          </reference>
          <reference field="4" count="1" selected="0">
            <x v="17"/>
          </reference>
        </references>
      </pivotArea>
    </chartFormat>
    <chartFormat chart="4" format="2">
      <pivotArea type="data" outline="0" fieldPosition="0">
        <references count="2">
          <reference field="4294967294" count="1" selected="0">
            <x v="0"/>
          </reference>
          <reference field="4" count="1" selected="0">
            <x v="3"/>
          </reference>
        </references>
      </pivotArea>
    </chartFormat>
    <chartFormat chart="4" format="3">
      <pivotArea type="data" outline="0" fieldPosition="0">
        <references count="2">
          <reference field="4294967294" count="1" selected="0">
            <x v="0"/>
          </reference>
          <reference field="4" count="1" selected="0">
            <x v="1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524EBA9-D4DA-419F-B520-DB1FC85ACC2D}" name="PivotTable10" cacheId="0" applyNumberFormats="0" applyBorderFormats="0" applyFontFormats="0" applyPatternFormats="0" applyAlignmentFormats="0" applyWidthHeightFormats="1" dataCaption="Values" updatedVersion="6" minRefreshableVersion="3" useAutoFormatting="1" itemPrintTitles="1" createdVersion="8" indent="0" compact="0" compactData="0" multipleFieldFilters="0">
  <location ref="J80:K82" firstHeaderRow="1" firstDataRow="1" firstDataCol="1"/>
  <pivotFields count="11">
    <pivotField compact="0" numFmtId="164" outline="0" showAll="0"/>
    <pivotField compact="0" outline="0" showAll="0"/>
    <pivotField compact="0" outline="0" showAll="0"/>
    <pivotField compact="0" outline="0" showAll="0"/>
    <pivotField compact="0" outline="0" showAll="0"/>
    <pivotField compact="0" outline="0" showAll="0">
      <items count="9">
        <item x="6"/>
        <item x="1"/>
        <item x="4"/>
        <item x="2"/>
        <item x="7"/>
        <item x="5"/>
        <item x="0"/>
        <item x="3"/>
        <item t="default"/>
      </items>
    </pivotField>
    <pivotField compact="0" outline="0" showAll="0"/>
    <pivotField compact="0" outline="0" showAll="0">
      <items count="11">
        <item h="1" x="0"/>
        <item h="1" x="1"/>
        <item h="1" x="2"/>
        <item h="1" x="3"/>
        <item h="1" x="4"/>
        <item h="1" x="5"/>
        <item h="1" x="6"/>
        <item h="1" x="7"/>
        <item h="1" x="8"/>
        <item x="9"/>
        <item t="default"/>
      </items>
    </pivotField>
    <pivotField compact="0" numFmtId="165" outline="0" showAll="0"/>
    <pivotField dataField="1" compact="0" outline="0" showAll="0"/>
    <pivotField axis="axisRow" compact="0" outline="0" showAll="0">
      <items count="11">
        <item x="0"/>
        <item x="1"/>
        <item x="2"/>
        <item x="3"/>
        <item x="4"/>
        <item x="5"/>
        <item x="6"/>
        <item x="7"/>
        <item x="8"/>
        <item x="9"/>
        <item t="default"/>
      </items>
    </pivotField>
  </pivotFields>
  <rowFields count="1">
    <field x="10"/>
  </rowFields>
  <rowItems count="2">
    <i>
      <x v="9"/>
    </i>
    <i t="grand">
      <x/>
    </i>
  </rowItems>
  <colItems count="1">
    <i/>
  </colItems>
  <dataFields count="1">
    <dataField name="Sum of Amount" fld="9" baseField="0" baseItem="0"/>
  </dataFields>
  <formats count="1">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E04ADE9-B6BD-4466-97B8-DAFAAF7BA7AC}" name="PivotTable1" cacheId="0" applyNumberFormats="0" applyBorderFormats="0" applyFontFormats="0" applyPatternFormats="0" applyAlignmentFormats="0" applyWidthHeightFormats="1" dataCaption="Values" updatedVersion="6" minRefreshableVersion="3" useAutoFormatting="1" itemPrintTitles="1" createdVersion="8" indent="0" compact="0" compactData="0" multipleFieldFilters="0">
  <location ref="G4:H12" firstHeaderRow="1" firstDataRow="1" firstDataCol="1"/>
  <pivotFields count="11">
    <pivotField compact="0" numFmtId="164" outline="0" showAll="0"/>
    <pivotField compact="0" outline="0" showAll="0"/>
    <pivotField compact="0" outline="0" showAll="0"/>
    <pivotField compact="0" outline="0" showAll="0"/>
    <pivotField compact="0" outline="0" showAll="0"/>
    <pivotField axis="axisRow" compact="0" outline="0" showAll="0">
      <items count="9">
        <item x="0"/>
        <item x="5"/>
        <item x="2"/>
        <item x="4"/>
        <item x="3"/>
        <item x="1"/>
        <item h="1" x="6"/>
        <item x="7"/>
        <item t="default"/>
      </items>
    </pivotField>
    <pivotField compact="0" outline="0" showAll="0"/>
    <pivotField compact="0" outline="0" showAll="0">
      <items count="11">
        <item h="1" x="0"/>
        <item h="1" x="1"/>
        <item h="1" x="2"/>
        <item h="1" x="3"/>
        <item h="1" x="4"/>
        <item h="1" x="5"/>
        <item x="6"/>
        <item h="1" x="7"/>
        <item h="1" x="8"/>
        <item h="1" x="9"/>
        <item t="default"/>
      </items>
    </pivotField>
    <pivotField compact="0" numFmtId="165" outline="0" showAll="0"/>
    <pivotField dataField="1" compact="0" outline="0" showAll="0"/>
    <pivotField compact="0" outline="0" showAll="0"/>
  </pivotFields>
  <rowFields count="1">
    <field x="5"/>
  </rowFields>
  <rowItems count="8">
    <i>
      <x/>
    </i>
    <i>
      <x v="1"/>
    </i>
    <i>
      <x v="2"/>
    </i>
    <i>
      <x v="3"/>
    </i>
    <i>
      <x v="4"/>
    </i>
    <i>
      <x v="5"/>
    </i>
    <i>
      <x v="7"/>
    </i>
    <i t="grand">
      <x/>
    </i>
  </rowItems>
  <colItems count="1">
    <i/>
  </colItems>
  <dataFields count="1">
    <dataField name="Sum of Amount" fld="9" baseField="0" baseItem="0" numFmtId="166"/>
  </dataFields>
  <formats count="1">
    <format dxfId="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74CFFE5-58DF-4EFD-8CB8-75DC91615A81}" name="PivotTable2" cacheId="0" applyNumberFormats="0" applyBorderFormats="0" applyFontFormats="0" applyPatternFormats="0" applyAlignmentFormats="0" applyWidthHeightFormats="1" dataCaption="Values" updatedVersion="6" minRefreshableVersion="3" useAutoFormatting="1" rowGrandTotals="0" itemPrintTitles="1" createdVersion="8" indent="0" compact="0" compactData="0" multipleFieldFilters="0">
  <location ref="H109:H110" firstHeaderRow="1" firstDataRow="1" firstDataCol="1"/>
  <pivotFields count="11">
    <pivotField compact="0" numFmtId="164" outline="0" showAll="0"/>
    <pivotField compact="0" outline="0" showAll="0"/>
    <pivotField compact="0" outline="0" showAll="0"/>
    <pivotField compact="0" outline="0" showAll="0"/>
    <pivotField compact="0" outline="0" showAll="0"/>
    <pivotField compact="0" outline="0" showAll="0">
      <items count="9">
        <item x="0"/>
        <item x="5"/>
        <item x="2"/>
        <item x="4"/>
        <item x="3"/>
        <item x="1"/>
        <item x="6"/>
        <item x="7"/>
        <item t="default"/>
      </items>
    </pivotField>
    <pivotField compact="0" outline="0" showAll="0"/>
    <pivotField axis="axisRow" compact="0" outline="0" showAll="0">
      <items count="11">
        <item h="1" x="0"/>
        <item h="1" x="1"/>
        <item h="1" x="2"/>
        <item h="1" x="3"/>
        <item h="1" x="4"/>
        <item h="1" x="5"/>
        <item h="1" x="6"/>
        <item h="1" x="7"/>
        <item h="1" x="8"/>
        <item x="9"/>
        <item t="default"/>
      </items>
    </pivotField>
    <pivotField compact="0" numFmtId="165" outline="0" showAll="0"/>
    <pivotField compact="0" outline="0" showAll="0"/>
    <pivotField compact="0" outline="0" showAll="0"/>
  </pivotFields>
  <rowFields count="1">
    <field x="7"/>
  </rowFields>
  <rowItems count="1">
    <i>
      <x v="9"/>
    </i>
  </rowItems>
  <colItems count="1">
    <i/>
  </colItems>
  <formats count="1">
    <format dxfId="1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B505046-4693-4AF5-B9DC-E30E07B54DD7}" name="PivotTable7" cacheId="0" applyNumberFormats="0" applyBorderFormats="0" applyFontFormats="0" applyPatternFormats="0" applyAlignmentFormats="0" applyWidthHeightFormats="1" dataCaption="Values" updatedVersion="6" minRefreshableVersion="3" useAutoFormatting="1" colGrandTotals="0" itemPrintTitles="1" createdVersion="8" indent="0" compact="0" compactData="0" multipleFieldFilters="0" chartFormat="5">
  <location ref="G52:M61" firstHeaderRow="1" firstDataRow="2" firstDataCol="1" rowPageCount="1" colPageCount="1"/>
  <pivotFields count="11">
    <pivotField compact="0" numFmtId="164" outline="0" showAll="0"/>
    <pivotField compact="0" outline="0" showAll="0"/>
    <pivotField dataField="1" compact="0" outline="0" showAll="0"/>
    <pivotField compact="0" outline="0" showAll="0"/>
    <pivotField compact="0" outline="0" showAll="0"/>
    <pivotField axis="axisCol" compact="0" outline="0" showAll="0">
      <items count="9">
        <item x="0"/>
        <item x="5"/>
        <item x="2"/>
        <item x="4"/>
        <item x="3"/>
        <item x="1"/>
        <item x="6"/>
        <item x="7"/>
        <item t="default"/>
      </items>
    </pivotField>
    <pivotField axis="axisPage" compact="0" outline="0" multipleItemSelectionAllowed="1" showAll="0">
      <items count="3">
        <item x="1"/>
        <item h="1" x="0"/>
        <item t="default"/>
      </items>
    </pivotField>
    <pivotField compact="0" outline="0" showAll="0">
      <items count="11">
        <item h="1" x="0"/>
        <item h="1" x="1"/>
        <item h="1" x="2"/>
        <item h="1" x="3"/>
        <item h="1" x="4"/>
        <item h="1" x="5"/>
        <item h="1" x="6"/>
        <item h="1" x="7"/>
        <item h="1" x="8"/>
        <item x="9"/>
        <item t="default"/>
      </items>
    </pivotField>
    <pivotField axis="axisRow" compact="0" numFmtId="165" outline="0" showAll="0">
      <items count="8">
        <item x="6"/>
        <item x="0"/>
        <item x="1"/>
        <item x="2"/>
        <item x="3"/>
        <item x="4"/>
        <item x="5"/>
        <item t="default"/>
      </items>
    </pivotField>
    <pivotField compact="0" outline="0" showAll="0"/>
    <pivotField compact="0" outline="0" showAll="0"/>
  </pivotFields>
  <rowFields count="1">
    <field x="8"/>
  </rowFields>
  <rowItems count="8">
    <i>
      <x/>
    </i>
    <i>
      <x v="1"/>
    </i>
    <i>
      <x v="2"/>
    </i>
    <i>
      <x v="3"/>
    </i>
    <i>
      <x v="4"/>
    </i>
    <i>
      <x v="5"/>
    </i>
    <i>
      <x v="6"/>
    </i>
    <i t="grand">
      <x/>
    </i>
  </rowItems>
  <colFields count="1">
    <field x="5"/>
  </colFields>
  <colItems count="6">
    <i>
      <x v="2"/>
    </i>
    <i>
      <x v="3"/>
    </i>
    <i>
      <x v="4"/>
    </i>
    <i>
      <x v="5"/>
    </i>
    <i>
      <x v="6"/>
    </i>
    <i>
      <x v="7"/>
    </i>
  </colItems>
  <pageFields count="1">
    <pageField fld="6" hier="-1"/>
  </pageFields>
  <dataFields count="1">
    <dataField name="Sum of Debit" fld="2" baseField="0" baseItem="0"/>
  </dataFields>
  <formats count="1">
    <format dxfId="5">
      <pivotArea outline="0" collapsedLevelsAreSubtotals="1" fieldPosition="0"/>
    </format>
  </formats>
  <chartFormats count="12">
    <chartFormat chart="0" format="0" series="1">
      <pivotArea type="data" outline="0" fieldPosition="0">
        <references count="2">
          <reference field="4294967294" count="1" selected="0">
            <x v="0"/>
          </reference>
          <reference field="5" count="1" selected="0">
            <x v="2"/>
          </reference>
        </references>
      </pivotArea>
    </chartFormat>
    <chartFormat chart="0" format="1" series="1">
      <pivotArea type="data" outline="0" fieldPosition="0">
        <references count="2">
          <reference field="4294967294" count="1" selected="0">
            <x v="0"/>
          </reference>
          <reference field="5" count="1" selected="0">
            <x v="3"/>
          </reference>
        </references>
      </pivotArea>
    </chartFormat>
    <chartFormat chart="0" format="2" series="1">
      <pivotArea type="data" outline="0" fieldPosition="0">
        <references count="2">
          <reference field="4294967294" count="1" selected="0">
            <x v="0"/>
          </reference>
          <reference field="5" count="1" selected="0">
            <x v="4"/>
          </reference>
        </references>
      </pivotArea>
    </chartFormat>
    <chartFormat chart="0" format="3" series="1">
      <pivotArea type="data" outline="0" fieldPosition="0">
        <references count="2">
          <reference field="4294967294" count="1" selected="0">
            <x v="0"/>
          </reference>
          <reference field="5" count="1" selected="0">
            <x v="5"/>
          </reference>
        </references>
      </pivotArea>
    </chartFormat>
    <chartFormat chart="0" format="4" series="1">
      <pivotArea type="data" outline="0" fieldPosition="0">
        <references count="2">
          <reference field="4294967294" count="1" selected="0">
            <x v="0"/>
          </reference>
          <reference field="5" count="1" selected="0">
            <x v="6"/>
          </reference>
        </references>
      </pivotArea>
    </chartFormat>
    <chartFormat chart="0" format="5" series="1">
      <pivotArea type="data" outline="0" fieldPosition="0">
        <references count="2">
          <reference field="4294967294" count="1" selected="0">
            <x v="0"/>
          </reference>
          <reference field="5" count="1" selected="0">
            <x v="7"/>
          </reference>
        </references>
      </pivotArea>
    </chartFormat>
    <chartFormat chart="3" format="12" series="1">
      <pivotArea type="data" outline="0" fieldPosition="0">
        <references count="2">
          <reference field="4294967294" count="1" selected="0">
            <x v="0"/>
          </reference>
          <reference field="5" count="1" selected="0">
            <x v="2"/>
          </reference>
        </references>
      </pivotArea>
    </chartFormat>
    <chartFormat chart="3" format="13" series="1">
      <pivotArea type="data" outline="0" fieldPosition="0">
        <references count="2">
          <reference field="4294967294" count="1" selected="0">
            <x v="0"/>
          </reference>
          <reference field="5" count="1" selected="0">
            <x v="3"/>
          </reference>
        </references>
      </pivotArea>
    </chartFormat>
    <chartFormat chart="3" format="14" series="1">
      <pivotArea type="data" outline="0" fieldPosition="0">
        <references count="2">
          <reference field="4294967294" count="1" selected="0">
            <x v="0"/>
          </reference>
          <reference field="5" count="1" selected="0">
            <x v="4"/>
          </reference>
        </references>
      </pivotArea>
    </chartFormat>
    <chartFormat chart="3" format="15" series="1">
      <pivotArea type="data" outline="0" fieldPosition="0">
        <references count="2">
          <reference field="4294967294" count="1" selected="0">
            <x v="0"/>
          </reference>
          <reference field="5" count="1" selected="0">
            <x v="5"/>
          </reference>
        </references>
      </pivotArea>
    </chartFormat>
    <chartFormat chart="3" format="16" series="1">
      <pivotArea type="data" outline="0" fieldPosition="0">
        <references count="2">
          <reference field="4294967294" count="1" selected="0">
            <x v="0"/>
          </reference>
          <reference field="5" count="1" selected="0">
            <x v="6"/>
          </reference>
        </references>
      </pivotArea>
    </chartFormat>
    <chartFormat chart="3" format="17" series="1">
      <pivotArea type="data" outline="0" fieldPosition="0">
        <references count="2">
          <reference field="4294967294" count="1" selected="0">
            <x v="0"/>
          </reference>
          <reference field="5"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2E789FB-4FE9-447F-A857-19336C37CB40}" name="PivotTable4" cacheId="0" applyNumberFormats="0" applyBorderFormats="0" applyFontFormats="0" applyPatternFormats="0" applyAlignmentFormats="0" applyWidthHeightFormats="1" dataCaption="Values" updatedVersion="6" minRefreshableVersion="3" useAutoFormatting="1" itemPrintTitles="1" createdVersion="8" indent="0" compact="0" compactData="0" multipleFieldFilters="0" chartFormat="19">
  <location ref="G17:H23" firstHeaderRow="1" firstDataRow="1" firstDataCol="1" rowPageCount="1" colPageCount="1"/>
  <pivotFields count="11">
    <pivotField compact="0" numFmtId="164" outline="0" showAll="0"/>
    <pivotField compact="0" outline="0" showAll="0"/>
    <pivotField dataField="1" compact="0" outline="0" showAll="0"/>
    <pivotField compact="0" outline="0" showAll="0"/>
    <pivotField axis="axisRow" compact="0" outline="0" showAll="0" measureFilter="1" sortType="descending">
      <items count="19">
        <item x="3"/>
        <item x="7"/>
        <item x="1"/>
        <item x="0"/>
        <item x="16"/>
        <item x="14"/>
        <item x="6"/>
        <item x="15"/>
        <item x="17"/>
        <item x="5"/>
        <item x="13"/>
        <item x="4"/>
        <item x="12"/>
        <item x="2"/>
        <item x="8"/>
        <item x="9"/>
        <item x="11"/>
        <item x="10"/>
        <item t="default"/>
      </items>
      <autoSortScope>
        <pivotArea dataOnly="0" outline="0" fieldPosition="0">
          <references count="1">
            <reference field="4294967294" count="1" selected="0">
              <x v="0"/>
            </reference>
          </references>
        </pivotArea>
      </autoSortScope>
    </pivotField>
    <pivotField compact="0" outline="0" showAll="0"/>
    <pivotField axis="axisPage" compact="0" outline="0" multipleItemSelectionAllowed="1" showAll="0">
      <items count="3">
        <item x="1"/>
        <item h="1" x="0"/>
        <item t="default"/>
      </items>
    </pivotField>
    <pivotField compact="0" outline="0" showAll="0">
      <items count="11">
        <item h="1" x="0"/>
        <item h="1" x="1"/>
        <item h="1" x="2"/>
        <item h="1" x="3"/>
        <item h="1" x="4"/>
        <item h="1" x="5"/>
        <item h="1" x="6"/>
        <item h="1" x="7"/>
        <item h="1" x="8"/>
        <item x="9"/>
        <item t="default"/>
      </items>
    </pivotField>
    <pivotField compact="0" numFmtId="165" outline="0" showAll="0"/>
    <pivotField compact="0" outline="0" showAll="0"/>
    <pivotField compact="0" outline="0" showAll="0"/>
  </pivotFields>
  <rowFields count="1">
    <field x="4"/>
  </rowFields>
  <rowItems count="6">
    <i>
      <x v="13"/>
    </i>
    <i>
      <x v="11"/>
    </i>
    <i>
      <x v="1"/>
    </i>
    <i>
      <x v="6"/>
    </i>
    <i>
      <x v="7"/>
    </i>
    <i t="grand">
      <x/>
    </i>
  </rowItems>
  <colItems count="1">
    <i/>
  </colItems>
  <pageFields count="1">
    <pageField fld="6" hier="-1"/>
  </pageFields>
  <dataFields count="1">
    <dataField name="Sum of Debit" fld="2" baseField="0" baseItem="0"/>
  </dataFields>
  <formats count="1">
    <format dxfId="18">
      <pivotArea outline="0" collapsedLevelsAreSubtotals="1" fieldPosition="0"/>
    </format>
  </formats>
  <chartFormats count="2">
    <chartFormat chart="14" format="0"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C60C4E1-847D-45D8-B6BD-475BEDD1CB6C}" name="PivotTable5" cacheId="0" applyNumberFormats="0" applyBorderFormats="0" applyFontFormats="0" applyPatternFormats="0" applyAlignmentFormats="0" applyWidthHeightFormats="1" dataCaption="Values" updatedVersion="6" minRefreshableVersion="3" useAutoFormatting="1" itemPrintTitles="1" createdVersion="8" indent="0" compact="0" compactData="0" multipleFieldFilters="0" chartFormat="4">
  <location ref="G29:I30" firstHeaderRow="0" firstDataRow="1" firstDataCol="0"/>
  <pivotFields count="11">
    <pivotField compact="0" numFmtId="164" outline="0" showAll="0"/>
    <pivotField compact="0" outline="0" showAll="0"/>
    <pivotField dataField="1" compact="0" outline="0" showAll="0"/>
    <pivotField dataField="1" compact="0" outline="0" showAll="0"/>
    <pivotField compact="0" outline="0" showAll="0"/>
    <pivotField compact="0" outline="0" showAll="0"/>
    <pivotField compact="0" outline="0" showAll="0"/>
    <pivotField compact="0" outline="0" showAll="0">
      <items count="11">
        <item h="1" x="0"/>
        <item h="1" x="1"/>
        <item h="1" x="2"/>
        <item h="1" x="3"/>
        <item h="1" x="4"/>
        <item h="1" x="5"/>
        <item h="1" x="6"/>
        <item h="1" x="7"/>
        <item h="1" x="8"/>
        <item x="9"/>
        <item t="default"/>
      </items>
    </pivotField>
    <pivotField compact="0" numFmtId="165" outline="0" showAll="0"/>
    <pivotField dataField="1" compact="0" outline="0" showAll="0"/>
    <pivotField compact="0" outline="0" showAll="0"/>
  </pivotFields>
  <rowItems count="1">
    <i/>
  </rowItems>
  <colFields count="1">
    <field x="-2"/>
  </colFields>
  <colItems count="3">
    <i>
      <x/>
    </i>
    <i i="1">
      <x v="1"/>
    </i>
    <i i="2">
      <x v="2"/>
    </i>
  </colItems>
  <dataFields count="3">
    <dataField name="Sum of Debit" fld="2" baseField="0" baseItem="0"/>
    <dataField name="Sum of Credit" fld="3" baseField="0" baseItem="0"/>
    <dataField name="Sum of Amount" fld="9" baseField="0" baseItem="0" numFmtId="166"/>
  </dataFields>
  <formats count="1">
    <format dxfId="19">
      <pivotArea outline="0" collapsedLevelsAreSubtotals="1" fieldPosition="0"/>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 chart="3"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03B9F46-B9DC-4DB0-ADB3-74851126100E}" name="PivotTable9" cacheId="0" applyNumberFormats="0" applyBorderFormats="0" applyFontFormats="0" applyPatternFormats="0" applyAlignmentFormats="0" applyWidthHeightFormats="1" dataCaption="Values" updatedVersion="6" minRefreshableVersion="3" useAutoFormatting="1" itemPrintTitles="1" createdVersion="8" indent="0" compact="0" compactData="0" multipleFieldFilters="0">
  <location ref="G80:H91" firstHeaderRow="1" firstDataRow="1" firstDataCol="1"/>
  <pivotFields count="11">
    <pivotField compact="0" numFmtId="164" outline="0" showAll="0"/>
    <pivotField compact="0" outline="0" showAll="0"/>
    <pivotField dataField="1" compact="0" outline="0" showAll="0"/>
    <pivotField compact="0" outline="0" showAll="0"/>
    <pivotField compact="0" outline="0" showAll="0"/>
    <pivotField compact="0" outline="0" showAll="0">
      <items count="9">
        <item h="1" x="6"/>
        <item x="1"/>
        <item h="1" x="4"/>
        <item x="2"/>
        <item x="7"/>
        <item h="1" x="5"/>
        <item h="1" x="0"/>
        <item h="1" x="3"/>
        <item t="default"/>
      </items>
    </pivotField>
    <pivotField compact="0" outline="0" showAll="0"/>
    <pivotField compact="0" outline="0" showAll="0">
      <items count="11">
        <item h="1" x="0"/>
        <item h="1" x="1"/>
        <item h="1" x="2"/>
        <item h="1" x="3"/>
        <item h="1" x="4"/>
        <item x="5"/>
        <item h="1" x="6"/>
        <item h="1" x="7"/>
        <item h="1" x="8"/>
        <item h="1" x="9"/>
        <item t="default"/>
      </items>
    </pivotField>
    <pivotField compact="0" numFmtId="165" outline="0" showAll="0"/>
    <pivotField compact="0" outline="0" showAll="0"/>
    <pivotField axis="axisRow" compact="0" outline="0" showAll="0">
      <items count="11">
        <item x="0"/>
        <item x="1"/>
        <item x="2"/>
        <item x="3"/>
        <item x="4"/>
        <item x="5"/>
        <item x="6"/>
        <item x="7"/>
        <item x="8"/>
        <item x="9"/>
        <item t="default"/>
      </items>
    </pivotField>
  </pivotFields>
  <rowFields count="1">
    <field x="10"/>
  </rowFields>
  <rowItems count="11">
    <i>
      <x/>
    </i>
    <i>
      <x v="1"/>
    </i>
    <i>
      <x v="2"/>
    </i>
    <i>
      <x v="3"/>
    </i>
    <i>
      <x v="4"/>
    </i>
    <i>
      <x v="5"/>
    </i>
    <i>
      <x v="6"/>
    </i>
    <i>
      <x v="7"/>
    </i>
    <i>
      <x v="8"/>
    </i>
    <i>
      <x v="9"/>
    </i>
    <i t="grand">
      <x/>
    </i>
  </rowItems>
  <colItems count="1">
    <i/>
  </colItems>
  <dataFields count="1">
    <dataField name="Sum of Debit" fld="2" baseField="0" baseItem="0"/>
  </dataFields>
  <formats count="1">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9CAC3B0-8C10-41C5-8B9E-D56BE44E520C}" autoFormatId="16" applyNumberFormats="0" applyBorderFormats="0" applyFontFormats="0" applyPatternFormats="0" applyAlignmentFormats="0" applyWidthHeightFormats="0">
  <queryTableRefresh nextId="11">
    <queryTableFields count="10">
      <queryTableField id="1" name="Date" tableColumnId="1"/>
      <queryTableField id="2" name="Description" tableColumnId="2"/>
      <queryTableField id="3" name="Debit" tableColumnId="3"/>
      <queryTableField id="4" name="Credit" tableColumnId="4"/>
      <queryTableField id="5" name="Sub-category" tableColumnId="5"/>
      <queryTableField id="6" name="Category" tableColumnId="6"/>
      <queryTableField id="7" name="Category Type" tableColumnId="7"/>
      <queryTableField id="8" name="Month Number" tableColumnId="8"/>
      <queryTableField id="9" name="Weekday" tableColumnId="9"/>
      <queryTableField id="10" name="Amount" tableColumnId="1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umber" xr10:uid="{F89F7C9E-C14F-48C7-93AD-F294AFD7989C}" sourceName="Month Number">
  <pivotTables>
    <pivotTable tabId="4" name="PivotTable10"/>
    <pivotTable tabId="4" name="PivotTable4"/>
    <pivotTable tabId="4" name="PivotTable5"/>
    <pivotTable tabId="4" name="PivotTable7"/>
    <pivotTable tabId="4" name="PivotTable2"/>
  </pivotTables>
  <data>
    <tabular pivotCacheId="1879713630">
      <items count="10">
        <i x="0"/>
        <i x="1"/>
        <i x="2"/>
        <i x="3"/>
        <i x="4"/>
        <i x="5"/>
        <i x="6"/>
        <i x="7"/>
        <i x="8"/>
        <i x="9"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2F93430C-7621-46E2-ACA5-B525ABFFACF0}" sourceName="Category">
  <pivotTables>
    <pivotTable tabId="4" name="PivotTable9"/>
  </pivotTables>
  <data>
    <tabular pivotCacheId="1879713630">
      <items count="8">
        <i x="6"/>
        <i x="1" s="1"/>
        <i x="4"/>
        <i x="2" s="1"/>
        <i x="7" s="1"/>
        <i x="3"/>
        <i x="5" nd="1"/>
        <i x="0"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umber" xr10:uid="{659660EC-B44F-4494-AACE-520B0F0D3F24}" cache="Slicer_Month_Number" caption="Month Number" rowHeight="234950"/>
  <slicer name="Category" xr10:uid="{9E5DEC3E-3020-445E-83E8-C01246836B79}" cache="Slicer_Category1"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umber 1" xr10:uid="{AA311DEA-4D9F-46AE-82C0-ABC1319F5619}" cache="Slicer_Month_Number" caption="Month Number" columnCount="4" showCaption="0" style="SlicerStyleLight1 2" rowHeight="234950"/>
  <slicer name="Category 1" xr10:uid="{51CEE240-2DA8-41A0-8A60-12086D785194}" cache="Slicer_Category1" caption="Category" columnCount="2" showCaption="0" style="SlicerStyleLight1 2 2"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1A6B2BD-0D9D-4F00-83A2-DC1C77B81496}" name="Dataset" displayName="Dataset" ref="A1:J487" tableType="queryTable" totalsRowShown="0">
  <autoFilter ref="A1:J487" xr:uid="{F942F0E8-113A-48DA-AD50-DDB49AB60620}"/>
  <tableColumns count="10">
    <tableColumn id="1" xr3:uid="{76649BA6-80F4-4112-82F4-5E035DFE0982}" uniqueName="1" name="Date" queryTableFieldId="1" dataDxfId="4"/>
    <tableColumn id="2" xr3:uid="{FFE06E5E-65A6-483A-B046-139E25701B22}" uniqueName="2" name="Description" queryTableFieldId="2" dataDxfId="3"/>
    <tableColumn id="3" xr3:uid="{DB450D5B-155B-44AF-878D-7008D2AB7D21}" uniqueName="3" name="Debit" queryTableFieldId="3"/>
    <tableColumn id="4" xr3:uid="{0C634EED-CDC7-458E-8F64-C5EA328E870C}" uniqueName="4" name="Credit" queryTableFieldId="4"/>
    <tableColumn id="5" xr3:uid="{706405EA-DC37-4D41-9431-33AE527C9753}" uniqueName="5" name="Sub-category" queryTableFieldId="5" dataDxfId="2"/>
    <tableColumn id="6" xr3:uid="{0481E8BE-F928-45D8-86D9-C1BD4DA2042B}" uniqueName="6" name="Category" queryTableFieldId="6" dataDxfId="1"/>
    <tableColumn id="7" xr3:uid="{D323332B-9E19-457E-8DDD-5A9A5F8C9F7A}" uniqueName="7" name="Category Type" queryTableFieldId="7" dataDxfId="0"/>
    <tableColumn id="8" xr3:uid="{C54D9DA9-B973-4241-85B7-601DB38BB887}" uniqueName="8" name="Month Number" queryTableFieldId="8"/>
    <tableColumn id="9" xr3:uid="{A8AE0516-0937-411D-826E-0B60D6BFABD3}" uniqueName="9" name="Weekday" queryTableFieldId="9"/>
    <tableColumn id="10" xr3:uid="{0CB21E74-93BE-4FA3-953B-83DB4036D6BE}" uniqueName="10" name="Amount" queryTableFieldId="1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91B9C89-E85F-4AA6-99E1-BC43CB4C2D5C}" name="Table2" displayName="Table2" ref="A1:K20" totalsRowShown="0">
  <autoFilter ref="A1:K20" xr:uid="{27EA6649-2493-4F9E-AEB1-BC81619167A2}"/>
  <tableColumns count="11">
    <tableColumn id="1" xr3:uid="{3B325F6B-03F3-45CC-AD77-B268D276FBD6}" name="Date" dataDxfId="13"/>
    <tableColumn id="2" xr3:uid="{CA3A7E35-F8C8-4A5E-BF8A-8CBBFB5EFA79}" name="Description"/>
    <tableColumn id="3" xr3:uid="{7C2DE44D-113E-4410-9E7A-5678DCAA645D}" name="Debit"/>
    <tableColumn id="4" xr3:uid="{167F6B3F-9FEC-4939-8CB0-68679492A484}" name="Credit"/>
    <tableColumn id="5" xr3:uid="{B55C5B18-7D67-4AF6-B92C-E4B78EF70B98}" name="Sub-category"/>
    <tableColumn id="6" xr3:uid="{2D61C0AD-0CC1-4584-BE41-4BBCDA8F2598}" name="Category"/>
    <tableColumn id="7" xr3:uid="{76F6469E-F7E5-4FDF-8B84-4A5FB4654233}" name="Category Type"/>
    <tableColumn id="8" xr3:uid="{5312B665-FD72-46F7-A1C6-6818E32784C1}" name="Month Number"/>
    <tableColumn id="9" xr3:uid="{29A31382-8D74-4A47-B687-5A7EA6EC2C02}" name="Weekday" dataDxfId="12"/>
    <tableColumn id="10" xr3:uid="{E4CF8B2A-CEF8-4391-B974-454E697E0C6C}" name="Amount"/>
    <tableColumn id="11" xr3:uid="{942A9EE2-7FAD-4E63-ACFF-B582752AA095}" name="Month Nam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27B4F11-13A4-4A6B-A1B1-F9374ADA9A6C}" name="Table3" displayName="Table3" ref="A1:K71" totalsRowShown="0">
  <autoFilter ref="A1:K71" xr:uid="{6E01E60A-45DF-4C70-97FA-A4982CC4A401}"/>
  <tableColumns count="11">
    <tableColumn id="1" xr3:uid="{A9021D45-47E9-42C4-9730-5EEDFCAF1C64}" name="Date" dataDxfId="11"/>
    <tableColumn id="2" xr3:uid="{D322AE61-DFD5-4550-865C-1EB628555A39}" name="Description"/>
    <tableColumn id="3" xr3:uid="{3EF8E8DB-51BB-496D-B594-50A7658A8A62}" name="Debit"/>
    <tableColumn id="4" xr3:uid="{71D3BD76-11AF-418B-A2BB-49DF206DEDBC}" name="Credit"/>
    <tableColumn id="5" xr3:uid="{44129844-8574-4D14-A8BC-8C1954A3E951}" name="Sub-category"/>
    <tableColumn id="6" xr3:uid="{5B2C63BA-3095-4F1E-BFD0-3049086E789D}" name="Category"/>
    <tableColumn id="7" xr3:uid="{CB771733-7FA9-47CA-ADA6-901BCE00B033}" name="Category Type"/>
    <tableColumn id="8" xr3:uid="{7D3DA260-D48F-4B65-BD56-3EF1770B2809}" name="Month Number"/>
    <tableColumn id="9" xr3:uid="{3D55A17D-A7AA-4674-81E9-6B8673C06B5E}" name="Weekday" dataDxfId="10"/>
    <tableColumn id="10" xr3:uid="{308C9A43-AB39-4832-BB41-E7CFAD337ADD}" name="Amount"/>
    <tableColumn id="11" xr3:uid="{BB3866B9-791B-46E6-808C-56E971C9470D}" name="Month Nam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DE141B5-66A2-4598-8785-4CAACD09BA49}" name="Table4" displayName="Table4" ref="A1:K20" totalsRowShown="0">
  <autoFilter ref="A1:K20" xr:uid="{2F172D36-E33F-44AA-BAC6-E8FCAF64D713}"/>
  <tableColumns count="11">
    <tableColumn id="1" xr3:uid="{6D987903-A965-4B75-8BAF-BF648455F70D}" name="Date" dataDxfId="9"/>
    <tableColumn id="2" xr3:uid="{0B5555FA-9005-4506-8B7F-5A2B5E6BD8EC}" name="Description"/>
    <tableColumn id="3" xr3:uid="{1D163FBA-1B27-4964-91F6-64DB282E6A79}" name="Debit"/>
    <tableColumn id="4" xr3:uid="{C7363E75-1F95-42E0-BD1E-170FE6CF426D}" name="Credit"/>
    <tableColumn id="5" xr3:uid="{F37C32A2-A1A8-4FBC-AD47-EA83330E131E}" name="Sub-category"/>
    <tableColumn id="6" xr3:uid="{C106AE57-22A0-4F6A-A0BD-3C07A4B318B6}" name="Category"/>
    <tableColumn id="7" xr3:uid="{F3EFE549-0C86-4F4D-9D5F-5C3816E1BDA7}" name="Category Type"/>
    <tableColumn id="8" xr3:uid="{1D4D8EA6-7D7A-48CD-A681-EB47C223A74B}" name="Month Number"/>
    <tableColumn id="9" xr3:uid="{839586A6-7010-4208-928A-11627BDCF703}" name="Weekday" dataDxfId="8"/>
    <tableColumn id="10" xr3:uid="{DE5CF41D-E6C7-4D98-8D4A-672512BC44E5}" name="Amount"/>
    <tableColumn id="11" xr3:uid="{1DE433E9-F24E-4CA3-A52D-15DD19D21DA1}" name="Month Name"/>
  </tableColumns>
  <tableStyleInfo name="TableStyleMedium2"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Banded">
  <a:themeElements>
    <a:clrScheme name="Paper">
      <a:dk1>
        <a:sysClr val="windowText" lastClr="000000"/>
      </a:dk1>
      <a:lt1>
        <a:sysClr val="window" lastClr="FFFFFF"/>
      </a:lt1>
      <a:dk2>
        <a:srgbClr val="444D26"/>
      </a:dk2>
      <a:lt2>
        <a:srgbClr val="FEFAC9"/>
      </a:lt2>
      <a:accent1>
        <a:srgbClr val="A5B592"/>
      </a:accent1>
      <a:accent2>
        <a:srgbClr val="F3A447"/>
      </a:accent2>
      <a:accent3>
        <a:srgbClr val="E7BC29"/>
      </a:accent3>
      <a:accent4>
        <a:srgbClr val="D092A7"/>
      </a:accent4>
      <a:accent5>
        <a:srgbClr val="9C85C0"/>
      </a:accent5>
      <a:accent6>
        <a:srgbClr val="809EC2"/>
      </a:accent6>
      <a:hlink>
        <a:srgbClr val="8E58B6"/>
      </a:hlink>
      <a:folHlink>
        <a:srgbClr val="7F6F6F"/>
      </a:folHlink>
    </a:clrScheme>
    <a:fontScheme name="Franklin Gothic">
      <a:majorFont>
        <a:latin typeface="Franklin Gothic Medium" panose="020B0603020102020204"/>
        <a:ea typeface=""/>
        <a:cs typeface=""/>
        <a:font script="Jpan" typeface="HG創英角ｺﾞｼｯｸUB"/>
        <a:font script="Hang" typeface="돋움"/>
        <a:font script="Hans" typeface="隶书"/>
        <a:font script="Hant" typeface="微軟正黑體"/>
        <a:font script="Arab" typeface="Tahoma"/>
        <a:font script="Hebr" typeface="Aharoni"/>
        <a:font script="Thai" typeface="Lily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Franklin Gothic Book" panose="020B0503020102020204"/>
        <a:ea typeface=""/>
        <a:cs typeface=""/>
        <a:font script="Jpan" typeface="HGｺﾞｼｯｸE"/>
        <a:font script="Hang" typeface="돋움"/>
        <a:font script="Hans" typeface="华文楷体"/>
        <a:font script="Hant" typeface="微軟正黑體"/>
        <a:font script="Arab" typeface="Tahoma"/>
        <a:font script="Hebr" typeface="Aharoni"/>
        <a:font script="Thai" typeface="Lily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Banded">
      <a:fillStyleLst>
        <a:solidFill>
          <a:schemeClr val="phClr"/>
        </a:solidFill>
        <a:gradFill rotWithShape="1">
          <a:gsLst>
            <a:gs pos="0">
              <a:schemeClr val="phClr">
                <a:tint val="65000"/>
                <a:satMod val="120000"/>
                <a:lumMod val="107000"/>
              </a:schemeClr>
            </a:gs>
            <a:gs pos="50000">
              <a:schemeClr val="phClr">
                <a:tint val="70000"/>
                <a:satMod val="124000"/>
                <a:lumMod val="103000"/>
              </a:schemeClr>
            </a:gs>
            <a:gs pos="100000">
              <a:schemeClr val="phClr">
                <a:tint val="85000"/>
                <a:satMod val="120000"/>
                <a:lumMod val="100000"/>
              </a:schemeClr>
            </a:gs>
          </a:gsLst>
          <a:lin ang="5400000" scaled="0"/>
        </a:gradFill>
        <a:gradFill rotWithShape="1">
          <a:gsLst>
            <a:gs pos="0">
              <a:schemeClr val="phClr">
                <a:tint val="85000"/>
                <a:shade val="98000"/>
                <a:satMod val="110000"/>
                <a:lumMod val="103000"/>
              </a:schemeClr>
            </a:gs>
            <a:gs pos="50000">
              <a:schemeClr val="phClr">
                <a:shade val="85000"/>
                <a:satMod val="105000"/>
                <a:lumMod val="100000"/>
              </a:schemeClr>
            </a:gs>
            <a:gs pos="100000">
              <a:schemeClr val="phClr">
                <a:shade val="60000"/>
                <a:satMod val="120000"/>
                <a:lumMod val="100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25400" cap="flat" cmpd="sng" algn="ctr">
          <a:solidFill>
            <a:schemeClr val="phClr"/>
          </a:solidFill>
          <a:prstDash val="solid"/>
        </a:ln>
      </a:lnStyleLst>
      <a:effectStyleLst>
        <a:effectStyle>
          <a:effectLst/>
        </a:effectStyle>
        <a:effectStyle>
          <a:effectLst>
            <a:outerShdw blurRad="50800" dist="15875" dir="5400000" algn="ctr" rotWithShape="0">
              <a:srgbClr val="000000">
                <a:alpha val="68000"/>
              </a:srgbClr>
            </a:outerShdw>
          </a:effectLst>
        </a:effectStyle>
        <a:effectStyle>
          <a:effectLst>
            <a:outerShdw blurRad="88900" dist="27940" dir="5400000" algn="ctr" rotWithShape="0">
              <a:srgbClr val="000000">
                <a:alpha val="63000"/>
              </a:srgbClr>
            </a:outerShdw>
          </a:effectLst>
        </a:effectStyle>
      </a:effectStyleLst>
      <a:bgFillStyleLst>
        <a:solidFill>
          <a:schemeClr val="phClr"/>
        </a:solidFill>
        <a:blipFill rotWithShape="1">
          <a:blip xmlns:r="http://schemas.openxmlformats.org/officeDocument/2006/relationships" r:embed="rId1">
            <a:duotone>
              <a:schemeClr val="phClr"/>
              <a:schemeClr val="phClr">
                <a:shade val="91000"/>
                <a:satMod val="105000"/>
              </a:schemeClr>
            </a:duotone>
          </a:blip>
          <a:tile tx="0" ty="0" sx="100000" sy="100000" flip="none" algn="tl"/>
        </a:blipFill>
        <a:gradFill rotWithShape="1">
          <a:gsLst>
            <a:gs pos="0">
              <a:schemeClr val="phClr">
                <a:tint val="100000"/>
                <a:shade val="0"/>
                <a:satMod val="100000"/>
              </a:schemeClr>
            </a:gs>
            <a:gs pos="100000">
              <a:schemeClr val="phClr">
                <a:shade val="10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Banded" id="{98DFF888-2449-4D28-977C-6306C017633E}" vid="{9792607F-9579-4224-82FF-9C88C3E1E53D}"/>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microsoft.com/office/2007/relationships/slicer" Target="../slicers/slicer1.xml"/><Relationship Id="rId5" Type="http://schemas.openxmlformats.org/officeDocument/2006/relationships/pivotTable" Target="../pivotTables/pivotTable5.xml"/><Relationship Id="rId10" Type="http://schemas.openxmlformats.org/officeDocument/2006/relationships/drawing" Target="../drawings/drawing1.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microsoft.com/office/2007/relationships/slicer" Target="../slicers/slicer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CDAD6-ECA0-4339-85AB-6A747F12A5FA}">
  <dimension ref="A1:J487"/>
  <sheetViews>
    <sheetView tabSelected="1" workbookViewId="0">
      <selection activeCell="D21" sqref="D21"/>
    </sheetView>
  </sheetViews>
  <sheetFormatPr defaultRowHeight="15" x14ac:dyDescent="0.35"/>
  <cols>
    <col min="1" max="1" width="9.7265625" bestFit="1" customWidth="1"/>
    <col min="2" max="2" width="16.08984375" bestFit="1" customWidth="1"/>
    <col min="3" max="3" width="6.81640625" bestFit="1" customWidth="1"/>
    <col min="4" max="4" width="7.26953125" bestFit="1" customWidth="1"/>
    <col min="5" max="5" width="14" bestFit="1" customWidth="1"/>
    <col min="6" max="6" width="11.81640625" bestFit="1" customWidth="1"/>
    <col min="7" max="7" width="13.453125" bestFit="1" customWidth="1"/>
    <col min="8" max="8" width="14.36328125" bestFit="1" customWidth="1"/>
    <col min="9" max="9" width="9.54296875" bestFit="1" customWidth="1"/>
    <col min="10" max="10" width="8.6328125" bestFit="1" customWidth="1"/>
  </cols>
  <sheetData>
    <row r="1" spans="1:10" x14ac:dyDescent="0.35">
      <c r="A1" t="s">
        <v>0</v>
      </c>
      <c r="B1" t="s">
        <v>1</v>
      </c>
      <c r="C1" t="s">
        <v>2</v>
      </c>
      <c r="D1" t="s">
        <v>3</v>
      </c>
      <c r="E1" t="s">
        <v>4</v>
      </c>
      <c r="F1" t="s">
        <v>5</v>
      </c>
      <c r="G1" t="s">
        <v>6</v>
      </c>
      <c r="H1" t="s">
        <v>61</v>
      </c>
      <c r="I1" t="s">
        <v>62</v>
      </c>
      <c r="J1" t="s">
        <v>63</v>
      </c>
    </row>
    <row r="2" spans="1:10" x14ac:dyDescent="0.35">
      <c r="A2" s="11">
        <v>44200</v>
      </c>
      <c r="B2" s="10" t="s">
        <v>7</v>
      </c>
      <c r="D2">
        <v>5000</v>
      </c>
      <c r="E2" s="10" t="s">
        <v>8</v>
      </c>
      <c r="F2" s="10" t="s">
        <v>9</v>
      </c>
      <c r="G2" s="10" t="s">
        <v>10</v>
      </c>
      <c r="H2">
        <v>1</v>
      </c>
      <c r="I2">
        <v>2</v>
      </c>
      <c r="J2">
        <v>5000</v>
      </c>
    </row>
    <row r="3" spans="1:10" x14ac:dyDescent="0.35">
      <c r="A3" s="11">
        <v>44200</v>
      </c>
      <c r="B3" s="10" t="s">
        <v>11</v>
      </c>
      <c r="C3">
        <v>5</v>
      </c>
      <c r="E3" s="10" t="s">
        <v>12</v>
      </c>
      <c r="F3" s="10" t="s">
        <v>13</v>
      </c>
      <c r="G3" s="10" t="s">
        <v>14</v>
      </c>
      <c r="H3">
        <v>1</v>
      </c>
      <c r="I3">
        <v>2</v>
      </c>
      <c r="J3">
        <v>-5</v>
      </c>
    </row>
    <row r="4" spans="1:10" x14ac:dyDescent="0.35">
      <c r="A4" s="11">
        <v>44201</v>
      </c>
      <c r="B4" s="10" t="s">
        <v>15</v>
      </c>
      <c r="C4">
        <v>900</v>
      </c>
      <c r="E4" s="10" t="s">
        <v>16</v>
      </c>
      <c r="F4" s="10" t="s">
        <v>17</v>
      </c>
      <c r="G4" s="10" t="s">
        <v>14</v>
      </c>
      <c r="H4">
        <v>1</v>
      </c>
      <c r="I4">
        <v>3</v>
      </c>
      <c r="J4">
        <v>-900</v>
      </c>
    </row>
    <row r="5" spans="1:10" x14ac:dyDescent="0.35">
      <c r="A5" s="11">
        <v>44201</v>
      </c>
      <c r="B5" s="10" t="s">
        <v>18</v>
      </c>
      <c r="C5">
        <v>150</v>
      </c>
      <c r="E5" s="10" t="s">
        <v>19</v>
      </c>
      <c r="F5" s="10" t="s">
        <v>20</v>
      </c>
      <c r="G5" s="10" t="s">
        <v>14</v>
      </c>
      <c r="H5">
        <v>1</v>
      </c>
      <c r="I5">
        <v>3</v>
      </c>
      <c r="J5">
        <v>-150</v>
      </c>
    </row>
    <row r="6" spans="1:10" x14ac:dyDescent="0.35">
      <c r="A6" s="11">
        <v>44201</v>
      </c>
      <c r="B6" s="10" t="s">
        <v>11</v>
      </c>
      <c r="C6">
        <v>5</v>
      </c>
      <c r="E6" s="10" t="s">
        <v>12</v>
      </c>
      <c r="F6" s="10" t="s">
        <v>13</v>
      </c>
      <c r="G6" s="10" t="s">
        <v>14</v>
      </c>
      <c r="H6">
        <v>1</v>
      </c>
      <c r="I6">
        <v>3</v>
      </c>
      <c r="J6">
        <v>-5</v>
      </c>
    </row>
    <row r="7" spans="1:10" x14ac:dyDescent="0.35">
      <c r="A7" s="11">
        <v>44202</v>
      </c>
      <c r="B7" s="10" t="s">
        <v>11</v>
      </c>
      <c r="C7">
        <v>5</v>
      </c>
      <c r="E7" s="10" t="s">
        <v>12</v>
      </c>
      <c r="F7" s="10" t="s">
        <v>13</v>
      </c>
      <c r="G7" s="10" t="s">
        <v>14</v>
      </c>
      <c r="H7">
        <v>1</v>
      </c>
      <c r="I7">
        <v>4</v>
      </c>
      <c r="J7">
        <v>-5</v>
      </c>
    </row>
    <row r="8" spans="1:10" x14ac:dyDescent="0.35">
      <c r="A8" s="11">
        <v>44203</v>
      </c>
      <c r="B8" s="10" t="s">
        <v>11</v>
      </c>
      <c r="C8">
        <v>5</v>
      </c>
      <c r="E8" s="10" t="s">
        <v>12</v>
      </c>
      <c r="F8" s="10" t="s">
        <v>13</v>
      </c>
      <c r="G8" s="10" t="s">
        <v>14</v>
      </c>
      <c r="H8">
        <v>1</v>
      </c>
      <c r="I8">
        <v>5</v>
      </c>
      <c r="J8">
        <v>-5</v>
      </c>
    </row>
    <row r="9" spans="1:10" x14ac:dyDescent="0.35">
      <c r="A9" s="11">
        <v>44204</v>
      </c>
      <c r="B9" s="10" t="s">
        <v>11</v>
      </c>
      <c r="C9">
        <v>5</v>
      </c>
      <c r="E9" s="10" t="s">
        <v>12</v>
      </c>
      <c r="F9" s="10" t="s">
        <v>13</v>
      </c>
      <c r="G9" s="10" t="s">
        <v>14</v>
      </c>
      <c r="H9">
        <v>1</v>
      </c>
      <c r="I9">
        <v>6</v>
      </c>
      <c r="J9">
        <v>-5</v>
      </c>
    </row>
    <row r="10" spans="1:10" x14ac:dyDescent="0.35">
      <c r="A10" s="11">
        <v>44204</v>
      </c>
      <c r="B10" s="10" t="s">
        <v>21</v>
      </c>
      <c r="C10">
        <v>155</v>
      </c>
      <c r="E10" s="10" t="s">
        <v>22</v>
      </c>
      <c r="F10" s="10" t="s">
        <v>17</v>
      </c>
      <c r="G10" s="10" t="s">
        <v>14</v>
      </c>
      <c r="H10">
        <v>1</v>
      </c>
      <c r="I10">
        <v>6</v>
      </c>
      <c r="J10">
        <v>-155</v>
      </c>
    </row>
    <row r="11" spans="1:10" x14ac:dyDescent="0.35">
      <c r="A11" s="11">
        <v>44207</v>
      </c>
      <c r="B11" s="10" t="s">
        <v>23</v>
      </c>
      <c r="C11">
        <v>50</v>
      </c>
      <c r="E11" s="10" t="s">
        <v>24</v>
      </c>
      <c r="F11" s="10" t="s">
        <v>17</v>
      </c>
      <c r="G11" s="10" t="s">
        <v>14</v>
      </c>
      <c r="H11">
        <v>1</v>
      </c>
      <c r="I11">
        <v>2</v>
      </c>
      <c r="J11">
        <v>-50</v>
      </c>
    </row>
    <row r="12" spans="1:10" x14ac:dyDescent="0.35">
      <c r="A12" s="11">
        <v>44207</v>
      </c>
      <c r="B12" s="10" t="s">
        <v>11</v>
      </c>
      <c r="C12">
        <v>5</v>
      </c>
      <c r="E12" s="10" t="s">
        <v>12</v>
      </c>
      <c r="F12" s="10" t="s">
        <v>13</v>
      </c>
      <c r="G12" s="10" t="s">
        <v>14</v>
      </c>
      <c r="H12">
        <v>1</v>
      </c>
      <c r="I12">
        <v>2</v>
      </c>
      <c r="J12">
        <v>-5</v>
      </c>
    </row>
    <row r="13" spans="1:10" x14ac:dyDescent="0.35">
      <c r="A13" s="11">
        <v>44208</v>
      </c>
      <c r="B13" s="10" t="s">
        <v>11</v>
      </c>
      <c r="C13">
        <v>5</v>
      </c>
      <c r="E13" s="10" t="s">
        <v>12</v>
      </c>
      <c r="F13" s="10" t="s">
        <v>13</v>
      </c>
      <c r="G13" s="10" t="s">
        <v>14</v>
      </c>
      <c r="H13">
        <v>1</v>
      </c>
      <c r="I13">
        <v>3</v>
      </c>
      <c r="J13">
        <v>-5</v>
      </c>
    </row>
    <row r="14" spans="1:10" x14ac:dyDescent="0.35">
      <c r="A14" s="11">
        <v>44209</v>
      </c>
      <c r="B14" s="10" t="s">
        <v>25</v>
      </c>
      <c r="C14">
        <v>77</v>
      </c>
      <c r="E14" s="10" t="s">
        <v>12</v>
      </c>
      <c r="F14" s="10" t="s">
        <v>13</v>
      </c>
      <c r="G14" s="10" t="s">
        <v>14</v>
      </c>
      <c r="H14">
        <v>1</v>
      </c>
      <c r="I14">
        <v>4</v>
      </c>
      <c r="J14">
        <v>-77</v>
      </c>
    </row>
    <row r="15" spans="1:10" x14ac:dyDescent="0.35">
      <c r="A15" s="11">
        <v>44209</v>
      </c>
      <c r="B15" s="10" t="s">
        <v>11</v>
      </c>
      <c r="C15">
        <v>5</v>
      </c>
      <c r="E15" s="10" t="s">
        <v>12</v>
      </c>
      <c r="F15" s="10" t="s">
        <v>13</v>
      </c>
      <c r="G15" s="10" t="s">
        <v>14</v>
      </c>
      <c r="H15">
        <v>1</v>
      </c>
      <c r="I15">
        <v>4</v>
      </c>
      <c r="J15">
        <v>-5</v>
      </c>
    </row>
    <row r="16" spans="1:10" x14ac:dyDescent="0.35">
      <c r="A16" s="11">
        <v>44210</v>
      </c>
      <c r="B16" s="10" t="s">
        <v>11</v>
      </c>
      <c r="C16">
        <v>5</v>
      </c>
      <c r="E16" s="10" t="s">
        <v>12</v>
      </c>
      <c r="F16" s="10" t="s">
        <v>13</v>
      </c>
      <c r="G16" s="10" t="s">
        <v>14</v>
      </c>
      <c r="H16">
        <v>1</v>
      </c>
      <c r="I16">
        <v>5</v>
      </c>
      <c r="J16">
        <v>-5</v>
      </c>
    </row>
    <row r="17" spans="1:10" x14ac:dyDescent="0.35">
      <c r="A17" s="11">
        <v>44211</v>
      </c>
      <c r="B17" s="10" t="s">
        <v>21</v>
      </c>
      <c r="C17">
        <v>135</v>
      </c>
      <c r="E17" s="10" t="s">
        <v>22</v>
      </c>
      <c r="F17" s="10" t="s">
        <v>17</v>
      </c>
      <c r="G17" s="10" t="s">
        <v>14</v>
      </c>
      <c r="H17">
        <v>1</v>
      </c>
      <c r="I17">
        <v>6</v>
      </c>
      <c r="J17">
        <v>-135</v>
      </c>
    </row>
    <row r="18" spans="1:10" x14ac:dyDescent="0.35">
      <c r="A18" s="11">
        <v>44211</v>
      </c>
      <c r="B18" s="10" t="s">
        <v>11</v>
      </c>
      <c r="C18">
        <v>5</v>
      </c>
      <c r="E18" s="10" t="s">
        <v>12</v>
      </c>
      <c r="F18" s="10" t="s">
        <v>13</v>
      </c>
      <c r="G18" s="10" t="s">
        <v>14</v>
      </c>
      <c r="H18">
        <v>1</v>
      </c>
      <c r="I18">
        <v>6</v>
      </c>
      <c r="J18">
        <v>-5</v>
      </c>
    </row>
    <row r="19" spans="1:10" x14ac:dyDescent="0.35">
      <c r="A19" s="11">
        <v>44212</v>
      </c>
      <c r="B19" s="10" t="s">
        <v>11</v>
      </c>
      <c r="C19">
        <v>5</v>
      </c>
      <c r="E19" s="10" t="s">
        <v>12</v>
      </c>
      <c r="F19" s="10" t="s">
        <v>13</v>
      </c>
      <c r="G19" s="10" t="s">
        <v>14</v>
      </c>
      <c r="H19">
        <v>1</v>
      </c>
      <c r="I19">
        <v>7</v>
      </c>
      <c r="J19">
        <v>-5</v>
      </c>
    </row>
    <row r="20" spans="1:10" x14ac:dyDescent="0.35">
      <c r="A20" s="11">
        <v>44212</v>
      </c>
      <c r="B20" s="10" t="s">
        <v>26</v>
      </c>
      <c r="C20">
        <v>40</v>
      </c>
      <c r="E20" s="10" t="s">
        <v>27</v>
      </c>
      <c r="F20" s="10" t="s">
        <v>28</v>
      </c>
      <c r="G20" s="10" t="s">
        <v>14</v>
      </c>
      <c r="H20">
        <v>1</v>
      </c>
      <c r="I20">
        <v>7</v>
      </c>
      <c r="J20">
        <v>-40</v>
      </c>
    </row>
    <row r="21" spans="1:10" x14ac:dyDescent="0.35">
      <c r="A21" s="11">
        <v>44212</v>
      </c>
      <c r="B21" s="10" t="s">
        <v>29</v>
      </c>
      <c r="C21">
        <v>98</v>
      </c>
      <c r="E21" s="10" t="s">
        <v>30</v>
      </c>
      <c r="F21" s="10" t="s">
        <v>28</v>
      </c>
      <c r="G21" s="10" t="s">
        <v>14</v>
      </c>
      <c r="H21">
        <v>1</v>
      </c>
      <c r="I21">
        <v>7</v>
      </c>
      <c r="J21">
        <v>-98</v>
      </c>
    </row>
    <row r="22" spans="1:10" x14ac:dyDescent="0.35">
      <c r="A22" s="11">
        <v>44212</v>
      </c>
      <c r="B22" s="10" t="s">
        <v>31</v>
      </c>
      <c r="C22">
        <v>52</v>
      </c>
      <c r="E22" s="10" t="s">
        <v>32</v>
      </c>
      <c r="F22" s="10" t="s">
        <v>13</v>
      </c>
      <c r="G22" s="10" t="s">
        <v>14</v>
      </c>
      <c r="H22">
        <v>1</v>
      </c>
      <c r="I22">
        <v>7</v>
      </c>
      <c r="J22">
        <v>-52</v>
      </c>
    </row>
    <row r="23" spans="1:10" x14ac:dyDescent="0.35">
      <c r="A23" s="11">
        <v>44213</v>
      </c>
      <c r="B23" s="10" t="s">
        <v>33</v>
      </c>
      <c r="C23">
        <v>28</v>
      </c>
      <c r="E23" s="10" t="s">
        <v>34</v>
      </c>
      <c r="F23" s="10" t="s">
        <v>20</v>
      </c>
      <c r="G23" s="10" t="s">
        <v>14</v>
      </c>
      <c r="H23">
        <v>1</v>
      </c>
      <c r="I23">
        <v>1</v>
      </c>
      <c r="J23">
        <v>-28</v>
      </c>
    </row>
    <row r="24" spans="1:10" x14ac:dyDescent="0.35">
      <c r="A24" s="11">
        <v>44214</v>
      </c>
      <c r="B24" s="10" t="s">
        <v>35</v>
      </c>
      <c r="D24">
        <v>4500</v>
      </c>
      <c r="E24" s="10" t="s">
        <v>36</v>
      </c>
      <c r="F24" s="10" t="s">
        <v>37</v>
      </c>
      <c r="G24" s="10" t="s">
        <v>10</v>
      </c>
      <c r="H24">
        <v>1</v>
      </c>
      <c r="I24">
        <v>2</v>
      </c>
      <c r="J24">
        <v>4500</v>
      </c>
    </row>
    <row r="25" spans="1:10" x14ac:dyDescent="0.35">
      <c r="A25" s="11">
        <v>44214</v>
      </c>
      <c r="B25" s="10" t="s">
        <v>11</v>
      </c>
      <c r="C25">
        <v>5</v>
      </c>
      <c r="E25" s="10" t="s">
        <v>12</v>
      </c>
      <c r="F25" s="10" t="s">
        <v>13</v>
      </c>
      <c r="G25" s="10" t="s">
        <v>14</v>
      </c>
      <c r="H25">
        <v>1</v>
      </c>
      <c r="I25">
        <v>2</v>
      </c>
      <c r="J25">
        <v>-5</v>
      </c>
    </row>
    <row r="26" spans="1:10" x14ac:dyDescent="0.35">
      <c r="A26" s="11">
        <v>44215</v>
      </c>
      <c r="B26" s="10" t="s">
        <v>11</v>
      </c>
      <c r="C26">
        <v>5</v>
      </c>
      <c r="E26" s="10" t="s">
        <v>12</v>
      </c>
      <c r="F26" s="10" t="s">
        <v>13</v>
      </c>
      <c r="G26" s="10" t="s">
        <v>14</v>
      </c>
      <c r="H26">
        <v>1</v>
      </c>
      <c r="I26">
        <v>3</v>
      </c>
      <c r="J26">
        <v>-5</v>
      </c>
    </row>
    <row r="27" spans="1:10" x14ac:dyDescent="0.35">
      <c r="A27" s="11">
        <v>44215</v>
      </c>
      <c r="B27" s="10" t="s">
        <v>35</v>
      </c>
      <c r="D27">
        <v>4500</v>
      </c>
      <c r="E27" s="10" t="s">
        <v>38</v>
      </c>
      <c r="F27" s="10" t="s">
        <v>37</v>
      </c>
      <c r="G27" s="10" t="s">
        <v>10</v>
      </c>
      <c r="H27">
        <v>1</v>
      </c>
      <c r="I27">
        <v>3</v>
      </c>
      <c r="J27">
        <v>4500</v>
      </c>
    </row>
    <row r="28" spans="1:10" x14ac:dyDescent="0.35">
      <c r="A28" s="11">
        <v>44215</v>
      </c>
      <c r="B28" s="10" t="s">
        <v>39</v>
      </c>
      <c r="C28">
        <v>40</v>
      </c>
      <c r="E28" s="10" t="s">
        <v>39</v>
      </c>
      <c r="F28" s="10" t="s">
        <v>17</v>
      </c>
      <c r="G28" s="10" t="s">
        <v>14</v>
      </c>
      <c r="H28">
        <v>1</v>
      </c>
      <c r="I28">
        <v>3</v>
      </c>
      <c r="J28">
        <v>-40</v>
      </c>
    </row>
    <row r="29" spans="1:10" x14ac:dyDescent="0.35">
      <c r="A29" s="11">
        <v>44216</v>
      </c>
      <c r="B29" s="10" t="s">
        <v>40</v>
      </c>
      <c r="C29">
        <v>45</v>
      </c>
      <c r="E29" s="10" t="s">
        <v>41</v>
      </c>
      <c r="F29" s="10" t="s">
        <v>28</v>
      </c>
      <c r="G29" s="10" t="s">
        <v>14</v>
      </c>
      <c r="H29">
        <v>1</v>
      </c>
      <c r="I29">
        <v>4</v>
      </c>
      <c r="J29">
        <v>-45</v>
      </c>
    </row>
    <row r="30" spans="1:10" x14ac:dyDescent="0.35">
      <c r="A30" s="11">
        <v>44216</v>
      </c>
      <c r="B30" s="10" t="s">
        <v>42</v>
      </c>
      <c r="C30">
        <v>32</v>
      </c>
      <c r="E30" s="10" t="s">
        <v>27</v>
      </c>
      <c r="F30" s="10" t="s">
        <v>28</v>
      </c>
      <c r="G30" s="10" t="s">
        <v>14</v>
      </c>
      <c r="H30">
        <v>1</v>
      </c>
      <c r="I30">
        <v>4</v>
      </c>
      <c r="J30">
        <v>-32</v>
      </c>
    </row>
    <row r="31" spans="1:10" x14ac:dyDescent="0.35">
      <c r="A31" s="11">
        <v>44216</v>
      </c>
      <c r="B31" s="10" t="s">
        <v>11</v>
      </c>
      <c r="C31">
        <v>5</v>
      </c>
      <c r="E31" s="10" t="s">
        <v>12</v>
      </c>
      <c r="F31" s="10" t="s">
        <v>13</v>
      </c>
      <c r="G31" s="10" t="s">
        <v>14</v>
      </c>
      <c r="H31">
        <v>1</v>
      </c>
      <c r="I31">
        <v>4</v>
      </c>
      <c r="J31">
        <v>-5</v>
      </c>
    </row>
    <row r="32" spans="1:10" x14ac:dyDescent="0.35">
      <c r="A32" s="11">
        <v>44217</v>
      </c>
      <c r="B32" s="10" t="s">
        <v>11</v>
      </c>
      <c r="C32">
        <v>5</v>
      </c>
      <c r="E32" s="10" t="s">
        <v>12</v>
      </c>
      <c r="F32" s="10" t="s">
        <v>13</v>
      </c>
      <c r="G32" s="10" t="s">
        <v>14</v>
      </c>
      <c r="H32">
        <v>1</v>
      </c>
      <c r="I32">
        <v>5</v>
      </c>
      <c r="J32">
        <v>-5</v>
      </c>
    </row>
    <row r="33" spans="1:10" x14ac:dyDescent="0.35">
      <c r="A33" s="11">
        <v>44218</v>
      </c>
      <c r="B33" s="10" t="s">
        <v>11</v>
      </c>
      <c r="C33">
        <v>5</v>
      </c>
      <c r="E33" s="10" t="s">
        <v>12</v>
      </c>
      <c r="F33" s="10" t="s">
        <v>13</v>
      </c>
      <c r="G33" s="10" t="s">
        <v>14</v>
      </c>
      <c r="H33">
        <v>1</v>
      </c>
      <c r="I33">
        <v>6</v>
      </c>
      <c r="J33">
        <v>-5</v>
      </c>
    </row>
    <row r="34" spans="1:10" x14ac:dyDescent="0.35">
      <c r="A34" s="11">
        <v>44218</v>
      </c>
      <c r="B34" s="10" t="s">
        <v>21</v>
      </c>
      <c r="C34">
        <v>170</v>
      </c>
      <c r="E34" s="10" t="s">
        <v>22</v>
      </c>
      <c r="F34" s="10" t="s">
        <v>17</v>
      </c>
      <c r="G34" s="10" t="s">
        <v>14</v>
      </c>
      <c r="H34">
        <v>1</v>
      </c>
      <c r="I34">
        <v>6</v>
      </c>
      <c r="J34">
        <v>-170</v>
      </c>
    </row>
    <row r="35" spans="1:10" x14ac:dyDescent="0.35">
      <c r="A35" s="11">
        <v>44219</v>
      </c>
      <c r="B35" s="10" t="s">
        <v>43</v>
      </c>
      <c r="C35">
        <v>37</v>
      </c>
      <c r="E35" s="10" t="s">
        <v>32</v>
      </c>
      <c r="F35" s="10" t="s">
        <v>13</v>
      </c>
      <c r="G35" s="10" t="s">
        <v>14</v>
      </c>
      <c r="H35">
        <v>1</v>
      </c>
      <c r="I35">
        <v>7</v>
      </c>
      <c r="J35">
        <v>-37</v>
      </c>
    </row>
    <row r="36" spans="1:10" x14ac:dyDescent="0.35">
      <c r="A36" s="11">
        <v>44220</v>
      </c>
      <c r="B36" s="10" t="s">
        <v>44</v>
      </c>
      <c r="C36">
        <v>12</v>
      </c>
      <c r="E36" s="10" t="s">
        <v>32</v>
      </c>
      <c r="F36" s="10" t="s">
        <v>13</v>
      </c>
      <c r="G36" s="10" t="s">
        <v>14</v>
      </c>
      <c r="H36">
        <v>1</v>
      </c>
      <c r="I36">
        <v>1</v>
      </c>
      <c r="J36">
        <v>-12</v>
      </c>
    </row>
    <row r="37" spans="1:10" x14ac:dyDescent="0.35">
      <c r="A37" s="11">
        <v>44221</v>
      </c>
      <c r="B37" s="10" t="s">
        <v>45</v>
      </c>
      <c r="C37">
        <v>55</v>
      </c>
      <c r="E37" s="10" t="s">
        <v>46</v>
      </c>
      <c r="F37" s="10" t="s">
        <v>47</v>
      </c>
      <c r="G37" s="10" t="s">
        <v>14</v>
      </c>
      <c r="H37">
        <v>1</v>
      </c>
      <c r="I37">
        <v>2</v>
      </c>
      <c r="J37">
        <v>-55</v>
      </c>
    </row>
    <row r="38" spans="1:10" x14ac:dyDescent="0.35">
      <c r="A38" s="11">
        <v>44221</v>
      </c>
      <c r="B38" s="10" t="s">
        <v>25</v>
      </c>
      <c r="C38">
        <v>63</v>
      </c>
      <c r="E38" s="10" t="s">
        <v>48</v>
      </c>
      <c r="F38" s="10" t="s">
        <v>20</v>
      </c>
      <c r="G38" s="10" t="s">
        <v>14</v>
      </c>
      <c r="H38">
        <v>1</v>
      </c>
      <c r="I38">
        <v>2</v>
      </c>
      <c r="J38">
        <v>-63</v>
      </c>
    </row>
    <row r="39" spans="1:10" x14ac:dyDescent="0.35">
      <c r="A39" s="11">
        <v>44221</v>
      </c>
      <c r="B39" s="10" t="s">
        <v>11</v>
      </c>
      <c r="C39">
        <v>5</v>
      </c>
      <c r="E39" s="10" t="s">
        <v>12</v>
      </c>
      <c r="F39" s="10" t="s">
        <v>13</v>
      </c>
      <c r="G39" s="10" t="s">
        <v>14</v>
      </c>
      <c r="H39">
        <v>1</v>
      </c>
      <c r="I39">
        <v>2</v>
      </c>
      <c r="J39">
        <v>-5</v>
      </c>
    </row>
    <row r="40" spans="1:10" x14ac:dyDescent="0.35">
      <c r="A40" s="11">
        <v>44222</v>
      </c>
      <c r="B40" s="10" t="s">
        <v>11</v>
      </c>
      <c r="C40">
        <v>5</v>
      </c>
      <c r="E40" s="10" t="s">
        <v>12</v>
      </c>
      <c r="F40" s="10" t="s">
        <v>13</v>
      </c>
      <c r="G40" s="10" t="s">
        <v>14</v>
      </c>
      <c r="H40">
        <v>1</v>
      </c>
      <c r="I40">
        <v>3</v>
      </c>
      <c r="J40">
        <v>-5</v>
      </c>
    </row>
    <row r="41" spans="1:10" x14ac:dyDescent="0.35">
      <c r="A41" s="11">
        <v>44223</v>
      </c>
      <c r="B41" s="10" t="s">
        <v>11</v>
      </c>
      <c r="C41">
        <v>5</v>
      </c>
      <c r="E41" s="10" t="s">
        <v>12</v>
      </c>
      <c r="F41" s="10" t="s">
        <v>13</v>
      </c>
      <c r="G41" s="10" t="s">
        <v>14</v>
      </c>
      <c r="H41">
        <v>1</v>
      </c>
      <c r="I41">
        <v>4</v>
      </c>
      <c r="J41">
        <v>-5</v>
      </c>
    </row>
    <row r="42" spans="1:10" x14ac:dyDescent="0.35">
      <c r="A42" s="11">
        <v>44224</v>
      </c>
      <c r="B42" s="10" t="s">
        <v>11</v>
      </c>
      <c r="C42">
        <v>5</v>
      </c>
      <c r="E42" s="10" t="s">
        <v>12</v>
      </c>
      <c r="F42" s="10" t="s">
        <v>13</v>
      </c>
      <c r="G42" s="10" t="s">
        <v>14</v>
      </c>
      <c r="H42">
        <v>1</v>
      </c>
      <c r="I42">
        <v>5</v>
      </c>
      <c r="J42">
        <v>-5</v>
      </c>
    </row>
    <row r="43" spans="1:10" x14ac:dyDescent="0.35">
      <c r="A43" s="11">
        <v>44225</v>
      </c>
      <c r="B43" s="10" t="s">
        <v>11</v>
      </c>
      <c r="C43">
        <v>5</v>
      </c>
      <c r="E43" s="10" t="s">
        <v>12</v>
      </c>
      <c r="F43" s="10" t="s">
        <v>13</v>
      </c>
      <c r="G43" s="10" t="s">
        <v>14</v>
      </c>
      <c r="H43">
        <v>1</v>
      </c>
      <c r="I43">
        <v>6</v>
      </c>
      <c r="J43">
        <v>-5</v>
      </c>
    </row>
    <row r="44" spans="1:10" x14ac:dyDescent="0.35">
      <c r="A44" s="11">
        <v>44225</v>
      </c>
      <c r="B44" s="10" t="s">
        <v>21</v>
      </c>
      <c r="C44">
        <v>162</v>
      </c>
      <c r="E44" s="10" t="s">
        <v>22</v>
      </c>
      <c r="F44" s="10" t="s">
        <v>17</v>
      </c>
      <c r="G44" s="10" t="s">
        <v>14</v>
      </c>
      <c r="H44">
        <v>1</v>
      </c>
      <c r="I44">
        <v>6</v>
      </c>
      <c r="J44">
        <v>-162</v>
      </c>
    </row>
    <row r="45" spans="1:10" x14ac:dyDescent="0.35">
      <c r="A45" s="11">
        <v>44226</v>
      </c>
      <c r="B45" s="10" t="s">
        <v>49</v>
      </c>
      <c r="C45">
        <v>125</v>
      </c>
      <c r="E45" s="10" t="s">
        <v>30</v>
      </c>
      <c r="F45" s="10" t="s">
        <v>28</v>
      </c>
      <c r="G45" s="10" t="s">
        <v>14</v>
      </c>
      <c r="H45">
        <v>1</v>
      </c>
      <c r="I45">
        <v>7</v>
      </c>
      <c r="J45">
        <v>-125</v>
      </c>
    </row>
    <row r="46" spans="1:10" x14ac:dyDescent="0.35">
      <c r="A46" s="11">
        <v>44226</v>
      </c>
      <c r="B46" s="10" t="s">
        <v>50</v>
      </c>
      <c r="C46">
        <v>175</v>
      </c>
      <c r="E46" s="10" t="s">
        <v>27</v>
      </c>
      <c r="F46" s="10" t="s">
        <v>28</v>
      </c>
      <c r="G46" s="10" t="s">
        <v>14</v>
      </c>
      <c r="H46">
        <v>1</v>
      </c>
      <c r="I46">
        <v>7</v>
      </c>
      <c r="J46">
        <v>-175</v>
      </c>
    </row>
    <row r="47" spans="1:10" x14ac:dyDescent="0.35">
      <c r="A47" s="11">
        <v>44227</v>
      </c>
      <c r="B47" s="10" t="s">
        <v>29</v>
      </c>
      <c r="C47">
        <v>145</v>
      </c>
      <c r="E47" s="10" t="s">
        <v>30</v>
      </c>
      <c r="F47" s="10" t="s">
        <v>28</v>
      </c>
      <c r="G47" s="10" t="s">
        <v>14</v>
      </c>
      <c r="H47">
        <v>1</v>
      </c>
      <c r="I47">
        <v>1</v>
      </c>
      <c r="J47">
        <v>-145</v>
      </c>
    </row>
    <row r="48" spans="1:10" x14ac:dyDescent="0.35">
      <c r="A48" s="11">
        <v>44227</v>
      </c>
      <c r="B48" s="10" t="s">
        <v>33</v>
      </c>
      <c r="C48">
        <v>23</v>
      </c>
      <c r="E48" s="10" t="s">
        <v>34</v>
      </c>
      <c r="F48" s="10" t="s">
        <v>20</v>
      </c>
      <c r="G48" s="10" t="s">
        <v>14</v>
      </c>
      <c r="H48">
        <v>1</v>
      </c>
      <c r="I48">
        <v>1</v>
      </c>
      <c r="J48">
        <v>-23</v>
      </c>
    </row>
    <row r="49" spans="1:10" x14ac:dyDescent="0.35">
      <c r="A49" s="11">
        <v>44228</v>
      </c>
      <c r="B49" s="10" t="s">
        <v>7</v>
      </c>
      <c r="D49">
        <v>5000</v>
      </c>
      <c r="E49" s="10" t="s">
        <v>8</v>
      </c>
      <c r="F49" s="10" t="s">
        <v>9</v>
      </c>
      <c r="G49" s="10" t="s">
        <v>10</v>
      </c>
      <c r="H49">
        <v>2</v>
      </c>
      <c r="I49">
        <v>2</v>
      </c>
      <c r="J49">
        <v>5000</v>
      </c>
    </row>
    <row r="50" spans="1:10" x14ac:dyDescent="0.35">
      <c r="A50" s="11">
        <v>44228</v>
      </c>
      <c r="B50" s="10" t="s">
        <v>11</v>
      </c>
      <c r="C50">
        <v>5</v>
      </c>
      <c r="E50" s="10" t="s">
        <v>12</v>
      </c>
      <c r="F50" s="10" t="s">
        <v>13</v>
      </c>
      <c r="G50" s="10" t="s">
        <v>14</v>
      </c>
      <c r="H50">
        <v>2</v>
      </c>
      <c r="I50">
        <v>2</v>
      </c>
      <c r="J50">
        <v>-5</v>
      </c>
    </row>
    <row r="51" spans="1:10" x14ac:dyDescent="0.35">
      <c r="A51" s="11">
        <v>44229</v>
      </c>
      <c r="B51" s="10" t="s">
        <v>15</v>
      </c>
      <c r="C51">
        <v>900</v>
      </c>
      <c r="E51" s="10" t="s">
        <v>16</v>
      </c>
      <c r="F51" s="10" t="s">
        <v>17</v>
      </c>
      <c r="G51" s="10" t="s">
        <v>14</v>
      </c>
      <c r="H51">
        <v>2</v>
      </c>
      <c r="I51">
        <v>3</v>
      </c>
      <c r="J51">
        <v>-900</v>
      </c>
    </row>
    <row r="52" spans="1:10" x14ac:dyDescent="0.35">
      <c r="A52" s="11">
        <v>44229</v>
      </c>
      <c r="B52" s="10" t="s">
        <v>18</v>
      </c>
      <c r="C52">
        <v>150</v>
      </c>
      <c r="E52" s="10" t="s">
        <v>19</v>
      </c>
      <c r="F52" s="10" t="s">
        <v>20</v>
      </c>
      <c r="G52" s="10" t="s">
        <v>14</v>
      </c>
      <c r="H52">
        <v>2</v>
      </c>
      <c r="I52">
        <v>3</v>
      </c>
      <c r="J52">
        <v>-150</v>
      </c>
    </row>
    <row r="53" spans="1:10" x14ac:dyDescent="0.35">
      <c r="A53" s="11">
        <v>44229</v>
      </c>
      <c r="B53" s="10" t="s">
        <v>11</v>
      </c>
      <c r="C53">
        <v>5</v>
      </c>
      <c r="E53" s="10" t="s">
        <v>12</v>
      </c>
      <c r="F53" s="10" t="s">
        <v>13</v>
      </c>
      <c r="G53" s="10" t="s">
        <v>14</v>
      </c>
      <c r="H53">
        <v>2</v>
      </c>
      <c r="I53">
        <v>3</v>
      </c>
      <c r="J53">
        <v>-5</v>
      </c>
    </row>
    <row r="54" spans="1:10" x14ac:dyDescent="0.35">
      <c r="A54" s="11">
        <v>44230</v>
      </c>
      <c r="B54" s="10" t="s">
        <v>11</v>
      </c>
      <c r="C54">
        <v>5</v>
      </c>
      <c r="E54" s="10" t="s">
        <v>12</v>
      </c>
      <c r="F54" s="10" t="s">
        <v>13</v>
      </c>
      <c r="G54" s="10" t="s">
        <v>14</v>
      </c>
      <c r="H54">
        <v>2</v>
      </c>
      <c r="I54">
        <v>4</v>
      </c>
      <c r="J54">
        <v>-5</v>
      </c>
    </row>
    <row r="55" spans="1:10" x14ac:dyDescent="0.35">
      <c r="A55" s="11">
        <v>44231</v>
      </c>
      <c r="B55" s="10" t="s">
        <v>11</v>
      </c>
      <c r="C55">
        <v>5</v>
      </c>
      <c r="E55" s="10" t="s">
        <v>12</v>
      </c>
      <c r="F55" s="10" t="s">
        <v>13</v>
      </c>
      <c r="G55" s="10" t="s">
        <v>14</v>
      </c>
      <c r="H55">
        <v>2</v>
      </c>
      <c r="I55">
        <v>5</v>
      </c>
      <c r="J55">
        <v>-5</v>
      </c>
    </row>
    <row r="56" spans="1:10" x14ac:dyDescent="0.35">
      <c r="A56" s="11">
        <v>44232</v>
      </c>
      <c r="B56" s="10" t="s">
        <v>11</v>
      </c>
      <c r="C56">
        <v>5</v>
      </c>
      <c r="E56" s="10" t="s">
        <v>12</v>
      </c>
      <c r="F56" s="10" t="s">
        <v>13</v>
      </c>
      <c r="G56" s="10" t="s">
        <v>14</v>
      </c>
      <c r="H56">
        <v>2</v>
      </c>
      <c r="I56">
        <v>6</v>
      </c>
      <c r="J56">
        <v>-5</v>
      </c>
    </row>
    <row r="57" spans="1:10" x14ac:dyDescent="0.35">
      <c r="A57" s="11">
        <v>44232</v>
      </c>
      <c r="B57" s="10" t="s">
        <v>21</v>
      </c>
      <c r="C57">
        <v>205</v>
      </c>
      <c r="E57" s="10" t="s">
        <v>22</v>
      </c>
      <c r="F57" s="10" t="s">
        <v>17</v>
      </c>
      <c r="G57" s="10" t="s">
        <v>14</v>
      </c>
      <c r="H57">
        <v>2</v>
      </c>
      <c r="I57">
        <v>6</v>
      </c>
      <c r="J57">
        <v>-205</v>
      </c>
    </row>
    <row r="58" spans="1:10" x14ac:dyDescent="0.35">
      <c r="A58" s="11">
        <v>44235</v>
      </c>
      <c r="B58" s="10" t="s">
        <v>23</v>
      </c>
      <c r="C58">
        <v>51.1</v>
      </c>
      <c r="E58" s="10" t="s">
        <v>24</v>
      </c>
      <c r="F58" s="10" t="s">
        <v>17</v>
      </c>
      <c r="G58" s="10" t="s">
        <v>14</v>
      </c>
      <c r="H58">
        <v>2</v>
      </c>
      <c r="I58">
        <v>2</v>
      </c>
      <c r="J58">
        <v>-51.1</v>
      </c>
    </row>
    <row r="59" spans="1:10" x14ac:dyDescent="0.35">
      <c r="A59" s="11">
        <v>44235</v>
      </c>
      <c r="B59" s="10" t="s">
        <v>11</v>
      </c>
      <c r="C59">
        <v>5</v>
      </c>
      <c r="E59" s="10" t="s">
        <v>12</v>
      </c>
      <c r="F59" s="10" t="s">
        <v>13</v>
      </c>
      <c r="G59" s="10" t="s">
        <v>14</v>
      </c>
      <c r="H59">
        <v>2</v>
      </c>
      <c r="I59">
        <v>2</v>
      </c>
      <c r="J59">
        <v>-5</v>
      </c>
    </row>
    <row r="60" spans="1:10" x14ac:dyDescent="0.35">
      <c r="A60" s="11">
        <v>44236</v>
      </c>
      <c r="B60" s="10" t="s">
        <v>11</v>
      </c>
      <c r="C60">
        <v>5</v>
      </c>
      <c r="E60" s="10" t="s">
        <v>12</v>
      </c>
      <c r="F60" s="10" t="s">
        <v>13</v>
      </c>
      <c r="G60" s="10" t="s">
        <v>14</v>
      </c>
      <c r="H60">
        <v>2</v>
      </c>
      <c r="I60">
        <v>3</v>
      </c>
      <c r="J60">
        <v>-5</v>
      </c>
    </row>
    <row r="61" spans="1:10" x14ac:dyDescent="0.35">
      <c r="A61" s="11">
        <v>44237</v>
      </c>
      <c r="B61" s="10" t="s">
        <v>25</v>
      </c>
      <c r="C61">
        <v>78</v>
      </c>
      <c r="E61" s="10" t="s">
        <v>48</v>
      </c>
      <c r="F61" s="10" t="s">
        <v>20</v>
      </c>
      <c r="G61" s="10" t="s">
        <v>14</v>
      </c>
      <c r="H61">
        <v>2</v>
      </c>
      <c r="I61">
        <v>4</v>
      </c>
      <c r="J61">
        <v>-78</v>
      </c>
    </row>
    <row r="62" spans="1:10" x14ac:dyDescent="0.35">
      <c r="A62" s="11">
        <v>44237</v>
      </c>
      <c r="B62" s="10" t="s">
        <v>11</v>
      </c>
      <c r="C62">
        <v>5</v>
      </c>
      <c r="E62" s="10" t="s">
        <v>12</v>
      </c>
      <c r="F62" s="10" t="s">
        <v>13</v>
      </c>
      <c r="G62" s="10" t="s">
        <v>14</v>
      </c>
      <c r="H62">
        <v>2</v>
      </c>
      <c r="I62">
        <v>4</v>
      </c>
      <c r="J62">
        <v>-5</v>
      </c>
    </row>
    <row r="63" spans="1:10" x14ac:dyDescent="0.35">
      <c r="A63" s="11">
        <v>44238</v>
      </c>
      <c r="B63" s="10" t="s">
        <v>11</v>
      </c>
      <c r="C63">
        <v>5</v>
      </c>
      <c r="E63" s="10" t="s">
        <v>12</v>
      </c>
      <c r="F63" s="10" t="s">
        <v>13</v>
      </c>
      <c r="G63" s="10" t="s">
        <v>14</v>
      </c>
      <c r="H63">
        <v>2</v>
      </c>
      <c r="I63">
        <v>5</v>
      </c>
      <c r="J63">
        <v>-5</v>
      </c>
    </row>
    <row r="64" spans="1:10" x14ac:dyDescent="0.35">
      <c r="A64" s="11">
        <v>44239</v>
      </c>
      <c r="B64" s="10" t="s">
        <v>21</v>
      </c>
      <c r="C64">
        <v>135.9</v>
      </c>
      <c r="E64" s="10" t="s">
        <v>22</v>
      </c>
      <c r="F64" s="10" t="s">
        <v>17</v>
      </c>
      <c r="G64" s="10" t="s">
        <v>14</v>
      </c>
      <c r="H64">
        <v>2</v>
      </c>
      <c r="I64">
        <v>6</v>
      </c>
      <c r="J64">
        <v>-135.9</v>
      </c>
    </row>
    <row r="65" spans="1:10" x14ac:dyDescent="0.35">
      <c r="A65" s="11">
        <v>44239</v>
      </c>
      <c r="B65" s="10" t="s">
        <v>11</v>
      </c>
      <c r="C65">
        <v>5</v>
      </c>
      <c r="E65" s="10" t="s">
        <v>12</v>
      </c>
      <c r="F65" s="10" t="s">
        <v>13</v>
      </c>
      <c r="G65" s="10" t="s">
        <v>14</v>
      </c>
      <c r="H65">
        <v>2</v>
      </c>
      <c r="I65">
        <v>6</v>
      </c>
      <c r="J65">
        <v>-5</v>
      </c>
    </row>
    <row r="66" spans="1:10" x14ac:dyDescent="0.35">
      <c r="A66" s="11">
        <v>44240</v>
      </c>
      <c r="B66" s="10" t="s">
        <v>11</v>
      </c>
      <c r="C66">
        <v>5</v>
      </c>
      <c r="E66" s="10" t="s">
        <v>12</v>
      </c>
      <c r="F66" s="10" t="s">
        <v>13</v>
      </c>
      <c r="G66" s="10" t="s">
        <v>14</v>
      </c>
      <c r="H66">
        <v>2</v>
      </c>
      <c r="I66">
        <v>7</v>
      </c>
      <c r="J66">
        <v>-5</v>
      </c>
    </row>
    <row r="67" spans="1:10" x14ac:dyDescent="0.35">
      <c r="A67" s="11">
        <v>44240</v>
      </c>
      <c r="B67" s="10" t="s">
        <v>26</v>
      </c>
      <c r="C67">
        <v>40.9</v>
      </c>
      <c r="E67" s="10" t="s">
        <v>27</v>
      </c>
      <c r="F67" s="10" t="s">
        <v>28</v>
      </c>
      <c r="G67" s="10" t="s">
        <v>14</v>
      </c>
      <c r="H67">
        <v>2</v>
      </c>
      <c r="I67">
        <v>7</v>
      </c>
      <c r="J67">
        <v>-40.9</v>
      </c>
    </row>
    <row r="68" spans="1:10" x14ac:dyDescent="0.35">
      <c r="A68" s="11">
        <v>44240</v>
      </c>
      <c r="B68" s="10" t="s">
        <v>29</v>
      </c>
      <c r="C68">
        <v>99</v>
      </c>
      <c r="E68" s="10" t="s">
        <v>30</v>
      </c>
      <c r="F68" s="10" t="s">
        <v>28</v>
      </c>
      <c r="G68" s="10" t="s">
        <v>14</v>
      </c>
      <c r="H68">
        <v>2</v>
      </c>
      <c r="I68">
        <v>7</v>
      </c>
      <c r="J68">
        <v>-99</v>
      </c>
    </row>
    <row r="69" spans="1:10" x14ac:dyDescent="0.35">
      <c r="A69" s="11">
        <v>44240</v>
      </c>
      <c r="B69" s="10" t="s">
        <v>31</v>
      </c>
      <c r="C69">
        <v>53</v>
      </c>
      <c r="E69" s="10" t="s">
        <v>32</v>
      </c>
      <c r="F69" s="10" t="s">
        <v>13</v>
      </c>
      <c r="G69" s="10" t="s">
        <v>14</v>
      </c>
      <c r="H69">
        <v>2</v>
      </c>
      <c r="I69">
        <v>7</v>
      </c>
      <c r="J69">
        <v>-53</v>
      </c>
    </row>
    <row r="70" spans="1:10" x14ac:dyDescent="0.35">
      <c r="A70" s="11">
        <v>44241</v>
      </c>
      <c r="B70" s="10" t="s">
        <v>33</v>
      </c>
      <c r="C70">
        <v>28.9</v>
      </c>
      <c r="E70" s="10" t="s">
        <v>34</v>
      </c>
      <c r="F70" s="10" t="s">
        <v>20</v>
      </c>
      <c r="G70" s="10" t="s">
        <v>14</v>
      </c>
      <c r="H70">
        <v>2</v>
      </c>
      <c r="I70">
        <v>1</v>
      </c>
      <c r="J70">
        <v>-28.9</v>
      </c>
    </row>
    <row r="71" spans="1:10" x14ac:dyDescent="0.35">
      <c r="A71" s="11">
        <v>44242</v>
      </c>
      <c r="B71" s="10" t="s">
        <v>35</v>
      </c>
      <c r="D71">
        <v>800</v>
      </c>
      <c r="E71" s="10" t="s">
        <v>36</v>
      </c>
      <c r="F71" s="10" t="s">
        <v>37</v>
      </c>
      <c r="G71" s="10" t="s">
        <v>10</v>
      </c>
      <c r="H71">
        <v>2</v>
      </c>
      <c r="I71">
        <v>2</v>
      </c>
      <c r="J71">
        <v>800</v>
      </c>
    </row>
    <row r="72" spans="1:10" x14ac:dyDescent="0.35">
      <c r="A72" s="11">
        <v>44242</v>
      </c>
      <c r="B72" s="10" t="s">
        <v>11</v>
      </c>
      <c r="C72">
        <v>5</v>
      </c>
      <c r="E72" s="10" t="s">
        <v>12</v>
      </c>
      <c r="F72" s="10" t="s">
        <v>13</v>
      </c>
      <c r="G72" s="10" t="s">
        <v>14</v>
      </c>
      <c r="H72">
        <v>2</v>
      </c>
      <c r="I72">
        <v>2</v>
      </c>
      <c r="J72">
        <v>-5</v>
      </c>
    </row>
    <row r="73" spans="1:10" x14ac:dyDescent="0.35">
      <c r="A73" s="11">
        <v>44243</v>
      </c>
      <c r="B73" s="10" t="s">
        <v>11</v>
      </c>
      <c r="C73">
        <v>5</v>
      </c>
      <c r="E73" s="10" t="s">
        <v>12</v>
      </c>
      <c r="F73" s="10" t="s">
        <v>13</v>
      </c>
      <c r="G73" s="10" t="s">
        <v>14</v>
      </c>
      <c r="H73">
        <v>2</v>
      </c>
      <c r="I73">
        <v>3</v>
      </c>
      <c r="J73">
        <v>-5</v>
      </c>
    </row>
    <row r="74" spans="1:10" x14ac:dyDescent="0.35">
      <c r="A74" s="11">
        <v>44243</v>
      </c>
      <c r="B74" s="10" t="s">
        <v>39</v>
      </c>
      <c r="C74">
        <v>40</v>
      </c>
      <c r="E74" s="10" t="s">
        <v>39</v>
      </c>
      <c r="F74" s="10" t="s">
        <v>17</v>
      </c>
      <c r="G74" s="10" t="s">
        <v>14</v>
      </c>
      <c r="H74">
        <v>2</v>
      </c>
      <c r="I74">
        <v>3</v>
      </c>
      <c r="J74">
        <v>-40</v>
      </c>
    </row>
    <row r="75" spans="1:10" x14ac:dyDescent="0.35">
      <c r="A75" s="11">
        <v>44244</v>
      </c>
      <c r="B75" s="10" t="s">
        <v>40</v>
      </c>
      <c r="C75">
        <v>45.9</v>
      </c>
      <c r="E75" s="10" t="s">
        <v>41</v>
      </c>
      <c r="F75" s="10" t="s">
        <v>28</v>
      </c>
      <c r="G75" s="10" t="s">
        <v>14</v>
      </c>
      <c r="H75">
        <v>2</v>
      </c>
      <c r="I75">
        <v>4</v>
      </c>
      <c r="J75">
        <v>-45.9</v>
      </c>
    </row>
    <row r="76" spans="1:10" x14ac:dyDescent="0.35">
      <c r="A76" s="11">
        <v>44244</v>
      </c>
      <c r="B76" s="10" t="s">
        <v>42</v>
      </c>
      <c r="C76">
        <v>35</v>
      </c>
      <c r="E76" s="10" t="s">
        <v>27</v>
      </c>
      <c r="F76" s="10" t="s">
        <v>28</v>
      </c>
      <c r="G76" s="10" t="s">
        <v>14</v>
      </c>
      <c r="H76">
        <v>2</v>
      </c>
      <c r="I76">
        <v>4</v>
      </c>
      <c r="J76">
        <v>-35</v>
      </c>
    </row>
    <row r="77" spans="1:10" x14ac:dyDescent="0.35">
      <c r="A77" s="11">
        <v>44244</v>
      </c>
      <c r="B77" s="10" t="s">
        <v>11</v>
      </c>
      <c r="C77">
        <v>5</v>
      </c>
      <c r="E77" s="10" t="s">
        <v>12</v>
      </c>
      <c r="F77" s="10" t="s">
        <v>13</v>
      </c>
      <c r="G77" s="10" t="s">
        <v>14</v>
      </c>
      <c r="H77">
        <v>2</v>
      </c>
      <c r="I77">
        <v>4</v>
      </c>
      <c r="J77">
        <v>-5</v>
      </c>
    </row>
    <row r="78" spans="1:10" x14ac:dyDescent="0.35">
      <c r="A78" s="11">
        <v>44245</v>
      </c>
      <c r="B78" s="10" t="s">
        <v>11</v>
      </c>
      <c r="C78">
        <v>5</v>
      </c>
      <c r="E78" s="10" t="s">
        <v>12</v>
      </c>
      <c r="F78" s="10" t="s">
        <v>13</v>
      </c>
      <c r="G78" s="10" t="s">
        <v>14</v>
      </c>
      <c r="H78">
        <v>2</v>
      </c>
      <c r="I78">
        <v>5</v>
      </c>
      <c r="J78">
        <v>-5</v>
      </c>
    </row>
    <row r="79" spans="1:10" x14ac:dyDescent="0.35">
      <c r="A79" s="11">
        <v>44246</v>
      </c>
      <c r="B79" s="10" t="s">
        <v>11</v>
      </c>
      <c r="C79">
        <v>5</v>
      </c>
      <c r="E79" s="10" t="s">
        <v>12</v>
      </c>
      <c r="F79" s="10" t="s">
        <v>13</v>
      </c>
      <c r="G79" s="10" t="s">
        <v>14</v>
      </c>
      <c r="H79">
        <v>2</v>
      </c>
      <c r="I79">
        <v>6</v>
      </c>
      <c r="J79">
        <v>-5</v>
      </c>
    </row>
    <row r="80" spans="1:10" x14ac:dyDescent="0.35">
      <c r="A80" s="11">
        <v>44246</v>
      </c>
      <c r="B80" s="10" t="s">
        <v>21</v>
      </c>
      <c r="C80">
        <v>171</v>
      </c>
      <c r="E80" s="10" t="s">
        <v>22</v>
      </c>
      <c r="F80" s="10" t="s">
        <v>17</v>
      </c>
      <c r="G80" s="10" t="s">
        <v>14</v>
      </c>
      <c r="H80">
        <v>2</v>
      </c>
      <c r="I80">
        <v>6</v>
      </c>
      <c r="J80">
        <v>-171</v>
      </c>
    </row>
    <row r="81" spans="1:10" x14ac:dyDescent="0.35">
      <c r="A81" s="11">
        <v>44247</v>
      </c>
      <c r="B81" s="10" t="s">
        <v>43</v>
      </c>
      <c r="C81">
        <v>37.9</v>
      </c>
      <c r="E81" s="10" t="s">
        <v>32</v>
      </c>
      <c r="F81" s="10" t="s">
        <v>13</v>
      </c>
      <c r="G81" s="10" t="s">
        <v>14</v>
      </c>
      <c r="H81">
        <v>2</v>
      </c>
      <c r="I81">
        <v>7</v>
      </c>
      <c r="J81">
        <v>-37.9</v>
      </c>
    </row>
    <row r="82" spans="1:10" x14ac:dyDescent="0.35">
      <c r="A82" s="11">
        <v>44248</v>
      </c>
      <c r="B82" s="10" t="s">
        <v>44</v>
      </c>
      <c r="C82">
        <v>12.9</v>
      </c>
      <c r="E82" s="10" t="s">
        <v>32</v>
      </c>
      <c r="F82" s="10" t="s">
        <v>13</v>
      </c>
      <c r="G82" s="10" t="s">
        <v>14</v>
      </c>
      <c r="H82">
        <v>2</v>
      </c>
      <c r="I82">
        <v>1</v>
      </c>
      <c r="J82">
        <v>-12.9</v>
      </c>
    </row>
    <row r="83" spans="1:10" x14ac:dyDescent="0.35">
      <c r="A83" s="11">
        <v>44249</v>
      </c>
      <c r="B83" s="10" t="s">
        <v>45</v>
      </c>
      <c r="C83">
        <v>55</v>
      </c>
      <c r="E83" s="10" t="s">
        <v>46</v>
      </c>
      <c r="F83" s="10" t="s">
        <v>47</v>
      </c>
      <c r="G83" s="10" t="s">
        <v>14</v>
      </c>
      <c r="H83">
        <v>2</v>
      </c>
      <c r="I83">
        <v>2</v>
      </c>
      <c r="J83">
        <v>-55</v>
      </c>
    </row>
    <row r="84" spans="1:10" x14ac:dyDescent="0.35">
      <c r="A84" s="11">
        <v>44249</v>
      </c>
      <c r="B84" s="10" t="s">
        <v>25</v>
      </c>
      <c r="C84">
        <v>64.099999999999994</v>
      </c>
      <c r="E84" s="10" t="s">
        <v>48</v>
      </c>
      <c r="F84" s="10" t="s">
        <v>20</v>
      </c>
      <c r="G84" s="10" t="s">
        <v>14</v>
      </c>
      <c r="H84">
        <v>2</v>
      </c>
      <c r="I84">
        <v>2</v>
      </c>
      <c r="J84">
        <v>-64.099999999999994</v>
      </c>
    </row>
    <row r="85" spans="1:10" x14ac:dyDescent="0.35">
      <c r="A85" s="11">
        <v>44249</v>
      </c>
      <c r="B85" s="10" t="s">
        <v>11</v>
      </c>
      <c r="C85">
        <v>5</v>
      </c>
      <c r="E85" s="10" t="s">
        <v>12</v>
      </c>
      <c r="F85" s="10" t="s">
        <v>13</v>
      </c>
      <c r="G85" s="10" t="s">
        <v>14</v>
      </c>
      <c r="H85">
        <v>2</v>
      </c>
      <c r="I85">
        <v>2</v>
      </c>
      <c r="J85">
        <v>-5</v>
      </c>
    </row>
    <row r="86" spans="1:10" x14ac:dyDescent="0.35">
      <c r="A86" s="11">
        <v>44250</v>
      </c>
      <c r="B86" s="10" t="s">
        <v>11</v>
      </c>
      <c r="C86">
        <v>5</v>
      </c>
      <c r="E86" s="10" t="s">
        <v>12</v>
      </c>
      <c r="F86" s="10" t="s">
        <v>13</v>
      </c>
      <c r="G86" s="10" t="s">
        <v>14</v>
      </c>
      <c r="H86">
        <v>2</v>
      </c>
      <c r="I86">
        <v>3</v>
      </c>
      <c r="J86">
        <v>-5</v>
      </c>
    </row>
    <row r="87" spans="1:10" x14ac:dyDescent="0.35">
      <c r="A87" s="11">
        <v>44251</v>
      </c>
      <c r="B87" s="10" t="s">
        <v>11</v>
      </c>
      <c r="C87">
        <v>5</v>
      </c>
      <c r="E87" s="10" t="s">
        <v>12</v>
      </c>
      <c r="F87" s="10" t="s">
        <v>13</v>
      </c>
      <c r="G87" s="10" t="s">
        <v>14</v>
      </c>
      <c r="H87">
        <v>2</v>
      </c>
      <c r="I87">
        <v>4</v>
      </c>
      <c r="J87">
        <v>-5</v>
      </c>
    </row>
    <row r="88" spans="1:10" x14ac:dyDescent="0.35">
      <c r="A88" s="11">
        <v>44252</v>
      </c>
      <c r="B88" s="10" t="s">
        <v>11</v>
      </c>
      <c r="C88">
        <v>5</v>
      </c>
      <c r="E88" s="10" t="s">
        <v>12</v>
      </c>
      <c r="F88" s="10" t="s">
        <v>13</v>
      </c>
      <c r="G88" s="10" t="s">
        <v>14</v>
      </c>
      <c r="H88">
        <v>2</v>
      </c>
      <c r="I88">
        <v>5</v>
      </c>
      <c r="J88">
        <v>-5</v>
      </c>
    </row>
    <row r="89" spans="1:10" x14ac:dyDescent="0.35">
      <c r="A89" s="11">
        <v>44253</v>
      </c>
      <c r="B89" s="10" t="s">
        <v>11</v>
      </c>
      <c r="C89">
        <v>5</v>
      </c>
      <c r="E89" s="10" t="s">
        <v>12</v>
      </c>
      <c r="F89" s="10" t="s">
        <v>13</v>
      </c>
      <c r="G89" s="10" t="s">
        <v>14</v>
      </c>
      <c r="H89">
        <v>2</v>
      </c>
      <c r="I89">
        <v>6</v>
      </c>
      <c r="J89">
        <v>-5</v>
      </c>
    </row>
    <row r="90" spans="1:10" x14ac:dyDescent="0.35">
      <c r="A90" s="11">
        <v>44253</v>
      </c>
      <c r="B90" s="10" t="s">
        <v>21</v>
      </c>
      <c r="C90">
        <v>162.9</v>
      </c>
      <c r="E90" s="10" t="s">
        <v>22</v>
      </c>
      <c r="F90" s="10" t="s">
        <v>17</v>
      </c>
      <c r="G90" s="10" t="s">
        <v>14</v>
      </c>
      <c r="H90">
        <v>2</v>
      </c>
      <c r="I90">
        <v>6</v>
      </c>
      <c r="J90">
        <v>-162.9</v>
      </c>
    </row>
    <row r="91" spans="1:10" x14ac:dyDescent="0.35">
      <c r="A91" s="11">
        <v>44254</v>
      </c>
      <c r="B91" s="10" t="s">
        <v>49</v>
      </c>
      <c r="C91">
        <v>125.9</v>
      </c>
      <c r="E91" s="10" t="s">
        <v>30</v>
      </c>
      <c r="F91" s="10" t="s">
        <v>28</v>
      </c>
      <c r="G91" s="10" t="s">
        <v>14</v>
      </c>
      <c r="H91">
        <v>2</v>
      </c>
      <c r="I91">
        <v>7</v>
      </c>
      <c r="J91">
        <v>-125.9</v>
      </c>
    </row>
    <row r="92" spans="1:10" x14ac:dyDescent="0.35">
      <c r="A92" s="11">
        <v>44254</v>
      </c>
      <c r="B92" s="10" t="s">
        <v>51</v>
      </c>
      <c r="C92">
        <v>137</v>
      </c>
      <c r="E92" s="10" t="s">
        <v>30</v>
      </c>
      <c r="F92" s="10" t="s">
        <v>28</v>
      </c>
      <c r="G92" s="10" t="s">
        <v>14</v>
      </c>
      <c r="H92">
        <v>2</v>
      </c>
      <c r="I92">
        <v>7</v>
      </c>
      <c r="J92">
        <v>-137</v>
      </c>
    </row>
    <row r="93" spans="1:10" x14ac:dyDescent="0.35">
      <c r="A93" s="11">
        <v>44255</v>
      </c>
      <c r="B93" s="10" t="s">
        <v>29</v>
      </c>
      <c r="C93">
        <v>146.1</v>
      </c>
      <c r="E93" s="10" t="s">
        <v>30</v>
      </c>
      <c r="F93" s="10" t="s">
        <v>28</v>
      </c>
      <c r="G93" s="10" t="s">
        <v>14</v>
      </c>
      <c r="H93">
        <v>2</v>
      </c>
      <c r="I93">
        <v>1</v>
      </c>
      <c r="J93">
        <v>-146.1</v>
      </c>
    </row>
    <row r="94" spans="1:10" x14ac:dyDescent="0.35">
      <c r="A94" s="11">
        <v>44255</v>
      </c>
      <c r="B94" s="10" t="s">
        <v>33</v>
      </c>
      <c r="C94">
        <v>24.1</v>
      </c>
      <c r="E94" s="10" t="s">
        <v>34</v>
      </c>
      <c r="F94" s="10" t="s">
        <v>20</v>
      </c>
      <c r="G94" s="10" t="s">
        <v>14</v>
      </c>
      <c r="H94">
        <v>2</v>
      </c>
      <c r="I94">
        <v>1</v>
      </c>
      <c r="J94">
        <v>-24.1</v>
      </c>
    </row>
    <row r="95" spans="1:10" x14ac:dyDescent="0.35">
      <c r="A95" s="11">
        <v>44256</v>
      </c>
      <c r="B95" s="10" t="s">
        <v>7</v>
      </c>
      <c r="D95">
        <v>5000</v>
      </c>
      <c r="E95" s="10" t="s">
        <v>8</v>
      </c>
      <c r="F95" s="10" t="s">
        <v>9</v>
      </c>
      <c r="G95" s="10" t="s">
        <v>10</v>
      </c>
      <c r="H95">
        <v>3</v>
      </c>
      <c r="I95">
        <v>2</v>
      </c>
      <c r="J95">
        <v>5000</v>
      </c>
    </row>
    <row r="96" spans="1:10" x14ac:dyDescent="0.35">
      <c r="A96" s="11">
        <v>44256</v>
      </c>
      <c r="B96" s="10" t="s">
        <v>11</v>
      </c>
      <c r="C96">
        <v>5</v>
      </c>
      <c r="E96" s="10" t="s">
        <v>12</v>
      </c>
      <c r="F96" s="10" t="s">
        <v>13</v>
      </c>
      <c r="G96" s="10" t="s">
        <v>14</v>
      </c>
      <c r="H96">
        <v>3</v>
      </c>
      <c r="I96">
        <v>2</v>
      </c>
      <c r="J96">
        <v>-5</v>
      </c>
    </row>
    <row r="97" spans="1:10" x14ac:dyDescent="0.35">
      <c r="A97" s="11">
        <v>44257</v>
      </c>
      <c r="B97" s="10" t="s">
        <v>15</v>
      </c>
      <c r="C97">
        <v>900</v>
      </c>
      <c r="E97" s="10" t="s">
        <v>16</v>
      </c>
      <c r="F97" s="10" t="s">
        <v>17</v>
      </c>
      <c r="G97" s="10" t="s">
        <v>14</v>
      </c>
      <c r="H97">
        <v>3</v>
      </c>
      <c r="I97">
        <v>3</v>
      </c>
      <c r="J97">
        <v>-900</v>
      </c>
    </row>
    <row r="98" spans="1:10" x14ac:dyDescent="0.35">
      <c r="A98" s="11">
        <v>44257</v>
      </c>
      <c r="B98" s="10" t="s">
        <v>18</v>
      </c>
      <c r="C98">
        <v>150</v>
      </c>
      <c r="E98" s="10" t="s">
        <v>19</v>
      </c>
      <c r="F98" s="10" t="s">
        <v>20</v>
      </c>
      <c r="G98" s="10" t="s">
        <v>14</v>
      </c>
      <c r="H98">
        <v>3</v>
      </c>
      <c r="I98">
        <v>3</v>
      </c>
      <c r="J98">
        <v>-150</v>
      </c>
    </row>
    <row r="99" spans="1:10" x14ac:dyDescent="0.35">
      <c r="A99" s="11">
        <v>44257</v>
      </c>
      <c r="B99" s="10" t="s">
        <v>11</v>
      </c>
      <c r="C99">
        <v>5</v>
      </c>
      <c r="E99" s="10" t="s">
        <v>12</v>
      </c>
      <c r="F99" s="10" t="s">
        <v>13</v>
      </c>
      <c r="G99" s="10" t="s">
        <v>14</v>
      </c>
      <c r="H99">
        <v>3</v>
      </c>
      <c r="I99">
        <v>3</v>
      </c>
      <c r="J99">
        <v>-5</v>
      </c>
    </row>
    <row r="100" spans="1:10" x14ac:dyDescent="0.35">
      <c r="A100" s="11">
        <v>44258</v>
      </c>
      <c r="B100" s="10" t="s">
        <v>11</v>
      </c>
      <c r="C100">
        <v>5</v>
      </c>
      <c r="E100" s="10" t="s">
        <v>12</v>
      </c>
      <c r="F100" s="10" t="s">
        <v>13</v>
      </c>
      <c r="G100" s="10" t="s">
        <v>14</v>
      </c>
      <c r="H100">
        <v>3</v>
      </c>
      <c r="I100">
        <v>4</v>
      </c>
      <c r="J100">
        <v>-5</v>
      </c>
    </row>
    <row r="101" spans="1:10" x14ac:dyDescent="0.35">
      <c r="A101" s="11">
        <v>44259</v>
      </c>
      <c r="B101" s="10" t="s">
        <v>11</v>
      </c>
      <c r="C101">
        <v>5</v>
      </c>
      <c r="E101" s="10" t="s">
        <v>12</v>
      </c>
      <c r="F101" s="10" t="s">
        <v>13</v>
      </c>
      <c r="G101" s="10" t="s">
        <v>14</v>
      </c>
      <c r="H101">
        <v>3</v>
      </c>
      <c r="I101">
        <v>5</v>
      </c>
      <c r="J101">
        <v>-5</v>
      </c>
    </row>
    <row r="102" spans="1:10" x14ac:dyDescent="0.35">
      <c r="A102" s="11">
        <v>44260</v>
      </c>
      <c r="B102" s="10" t="s">
        <v>11</v>
      </c>
      <c r="C102">
        <v>5</v>
      </c>
      <c r="E102" s="10" t="s">
        <v>12</v>
      </c>
      <c r="F102" s="10" t="s">
        <v>13</v>
      </c>
      <c r="G102" s="10" t="s">
        <v>14</v>
      </c>
      <c r="H102">
        <v>3</v>
      </c>
      <c r="I102">
        <v>6</v>
      </c>
      <c r="J102">
        <v>-5</v>
      </c>
    </row>
    <row r="103" spans="1:10" x14ac:dyDescent="0.35">
      <c r="A103" s="11">
        <v>44260</v>
      </c>
      <c r="B103" s="10" t="s">
        <v>21</v>
      </c>
      <c r="C103">
        <v>149</v>
      </c>
      <c r="E103" s="10" t="s">
        <v>22</v>
      </c>
      <c r="F103" s="10" t="s">
        <v>17</v>
      </c>
      <c r="G103" s="10" t="s">
        <v>14</v>
      </c>
      <c r="H103">
        <v>3</v>
      </c>
      <c r="I103">
        <v>6</v>
      </c>
      <c r="J103">
        <v>-149</v>
      </c>
    </row>
    <row r="104" spans="1:10" x14ac:dyDescent="0.35">
      <c r="A104" s="11">
        <v>44263</v>
      </c>
      <c r="B104" s="10" t="s">
        <v>23</v>
      </c>
      <c r="C104">
        <v>52.1</v>
      </c>
      <c r="E104" s="10" t="s">
        <v>24</v>
      </c>
      <c r="F104" s="10" t="s">
        <v>17</v>
      </c>
      <c r="G104" s="10" t="s">
        <v>14</v>
      </c>
      <c r="H104">
        <v>3</v>
      </c>
      <c r="I104">
        <v>2</v>
      </c>
      <c r="J104">
        <v>-52.1</v>
      </c>
    </row>
    <row r="105" spans="1:10" x14ac:dyDescent="0.35">
      <c r="A105" s="11">
        <v>44263</v>
      </c>
      <c r="B105" s="10" t="s">
        <v>11</v>
      </c>
      <c r="C105">
        <v>5</v>
      </c>
      <c r="E105" s="10" t="s">
        <v>12</v>
      </c>
      <c r="F105" s="10" t="s">
        <v>13</v>
      </c>
      <c r="G105" s="10" t="s">
        <v>14</v>
      </c>
      <c r="H105">
        <v>3</v>
      </c>
      <c r="I105">
        <v>2</v>
      </c>
      <c r="J105">
        <v>-5</v>
      </c>
    </row>
    <row r="106" spans="1:10" x14ac:dyDescent="0.35">
      <c r="A106" s="11">
        <v>44264</v>
      </c>
      <c r="B106" s="10" t="s">
        <v>11</v>
      </c>
      <c r="C106">
        <v>5</v>
      </c>
      <c r="E106" s="10" t="s">
        <v>12</v>
      </c>
      <c r="F106" s="10" t="s">
        <v>13</v>
      </c>
      <c r="G106" s="10" t="s">
        <v>14</v>
      </c>
      <c r="H106">
        <v>3</v>
      </c>
      <c r="I106">
        <v>3</v>
      </c>
      <c r="J106">
        <v>-5</v>
      </c>
    </row>
    <row r="107" spans="1:10" x14ac:dyDescent="0.35">
      <c r="A107" s="11">
        <v>44265</v>
      </c>
      <c r="B107" s="10" t="s">
        <v>25</v>
      </c>
      <c r="C107">
        <v>78.900000000000006</v>
      </c>
      <c r="E107" s="10" t="s">
        <v>48</v>
      </c>
      <c r="F107" s="10" t="s">
        <v>20</v>
      </c>
      <c r="G107" s="10" t="s">
        <v>14</v>
      </c>
      <c r="H107">
        <v>3</v>
      </c>
      <c r="I107">
        <v>4</v>
      </c>
      <c r="J107">
        <v>-78.900000000000006</v>
      </c>
    </row>
    <row r="108" spans="1:10" x14ac:dyDescent="0.35">
      <c r="A108" s="11">
        <v>44265</v>
      </c>
      <c r="B108" s="10" t="s">
        <v>11</v>
      </c>
      <c r="C108">
        <v>5</v>
      </c>
      <c r="E108" s="10" t="s">
        <v>12</v>
      </c>
      <c r="F108" s="10" t="s">
        <v>13</v>
      </c>
      <c r="G108" s="10" t="s">
        <v>14</v>
      </c>
      <c r="H108">
        <v>3</v>
      </c>
      <c r="I108">
        <v>4</v>
      </c>
      <c r="J108">
        <v>-5</v>
      </c>
    </row>
    <row r="109" spans="1:10" x14ac:dyDescent="0.35">
      <c r="A109" s="11">
        <v>44266</v>
      </c>
      <c r="B109" s="10" t="s">
        <v>11</v>
      </c>
      <c r="C109">
        <v>5</v>
      </c>
      <c r="E109" s="10" t="s">
        <v>12</v>
      </c>
      <c r="F109" s="10" t="s">
        <v>13</v>
      </c>
      <c r="G109" s="10" t="s">
        <v>14</v>
      </c>
      <c r="H109">
        <v>3</v>
      </c>
      <c r="I109">
        <v>5</v>
      </c>
      <c r="J109">
        <v>-5</v>
      </c>
    </row>
    <row r="110" spans="1:10" x14ac:dyDescent="0.35">
      <c r="A110" s="11">
        <v>44267</v>
      </c>
      <c r="B110" s="10" t="s">
        <v>21</v>
      </c>
      <c r="C110">
        <v>137</v>
      </c>
      <c r="E110" s="10" t="s">
        <v>22</v>
      </c>
      <c r="F110" s="10" t="s">
        <v>17</v>
      </c>
      <c r="G110" s="10" t="s">
        <v>14</v>
      </c>
      <c r="H110">
        <v>3</v>
      </c>
      <c r="I110">
        <v>6</v>
      </c>
      <c r="J110">
        <v>-137</v>
      </c>
    </row>
    <row r="111" spans="1:10" x14ac:dyDescent="0.35">
      <c r="A111" s="11">
        <v>44267</v>
      </c>
      <c r="B111" s="10" t="s">
        <v>11</v>
      </c>
      <c r="C111">
        <v>5</v>
      </c>
      <c r="E111" s="10" t="s">
        <v>12</v>
      </c>
      <c r="F111" s="10" t="s">
        <v>13</v>
      </c>
      <c r="G111" s="10" t="s">
        <v>14</v>
      </c>
      <c r="H111">
        <v>3</v>
      </c>
      <c r="I111">
        <v>6</v>
      </c>
      <c r="J111">
        <v>-5</v>
      </c>
    </row>
    <row r="112" spans="1:10" x14ac:dyDescent="0.35">
      <c r="A112" s="11">
        <v>44268</v>
      </c>
      <c r="B112" s="10" t="s">
        <v>11</v>
      </c>
      <c r="C112">
        <v>5</v>
      </c>
      <c r="E112" s="10" t="s">
        <v>12</v>
      </c>
      <c r="F112" s="10" t="s">
        <v>13</v>
      </c>
      <c r="G112" s="10" t="s">
        <v>14</v>
      </c>
      <c r="H112">
        <v>3</v>
      </c>
      <c r="I112">
        <v>7</v>
      </c>
      <c r="J112">
        <v>-5</v>
      </c>
    </row>
    <row r="113" spans="1:10" x14ac:dyDescent="0.35">
      <c r="A113" s="11">
        <v>44268</v>
      </c>
      <c r="B113" s="10" t="s">
        <v>26</v>
      </c>
      <c r="C113">
        <v>41.8</v>
      </c>
      <c r="E113" s="10" t="s">
        <v>27</v>
      </c>
      <c r="F113" s="10" t="s">
        <v>28</v>
      </c>
      <c r="G113" s="10" t="s">
        <v>14</v>
      </c>
      <c r="H113">
        <v>3</v>
      </c>
      <c r="I113">
        <v>7</v>
      </c>
      <c r="J113">
        <v>-41.8</v>
      </c>
    </row>
    <row r="114" spans="1:10" x14ac:dyDescent="0.35">
      <c r="A114" s="11">
        <v>44268</v>
      </c>
      <c r="B114" s="10" t="s">
        <v>29</v>
      </c>
      <c r="C114">
        <v>99.9</v>
      </c>
      <c r="E114" s="10" t="s">
        <v>30</v>
      </c>
      <c r="F114" s="10" t="s">
        <v>28</v>
      </c>
      <c r="G114" s="10" t="s">
        <v>14</v>
      </c>
      <c r="H114">
        <v>3</v>
      </c>
      <c r="I114">
        <v>7</v>
      </c>
      <c r="J114">
        <v>-99.9</v>
      </c>
    </row>
    <row r="115" spans="1:10" x14ac:dyDescent="0.35">
      <c r="A115" s="11">
        <v>44268</v>
      </c>
      <c r="B115" s="10" t="s">
        <v>31</v>
      </c>
      <c r="C115">
        <v>54</v>
      </c>
      <c r="E115" s="10" t="s">
        <v>32</v>
      </c>
      <c r="F115" s="10" t="s">
        <v>13</v>
      </c>
      <c r="G115" s="10" t="s">
        <v>14</v>
      </c>
      <c r="H115">
        <v>3</v>
      </c>
      <c r="I115">
        <v>7</v>
      </c>
      <c r="J115">
        <v>-54</v>
      </c>
    </row>
    <row r="116" spans="1:10" x14ac:dyDescent="0.35">
      <c r="A116" s="11">
        <v>44269</v>
      </c>
      <c r="B116" s="10" t="s">
        <v>33</v>
      </c>
      <c r="C116">
        <v>30</v>
      </c>
      <c r="E116" s="10" t="s">
        <v>34</v>
      </c>
      <c r="F116" s="10" t="s">
        <v>20</v>
      </c>
      <c r="G116" s="10" t="s">
        <v>14</v>
      </c>
      <c r="H116">
        <v>3</v>
      </c>
      <c r="I116">
        <v>1</v>
      </c>
      <c r="J116">
        <v>-30</v>
      </c>
    </row>
    <row r="117" spans="1:10" x14ac:dyDescent="0.35">
      <c r="A117" s="11">
        <v>44270</v>
      </c>
      <c r="B117" s="10" t="s">
        <v>35</v>
      </c>
      <c r="D117">
        <v>1000</v>
      </c>
      <c r="E117" s="10" t="s">
        <v>36</v>
      </c>
      <c r="F117" s="10" t="s">
        <v>37</v>
      </c>
      <c r="G117" s="10" t="s">
        <v>10</v>
      </c>
      <c r="H117">
        <v>3</v>
      </c>
      <c r="I117">
        <v>2</v>
      </c>
      <c r="J117">
        <v>1000</v>
      </c>
    </row>
    <row r="118" spans="1:10" x14ac:dyDescent="0.35">
      <c r="A118" s="11">
        <v>44270</v>
      </c>
      <c r="B118" s="10" t="s">
        <v>11</v>
      </c>
      <c r="C118">
        <v>5</v>
      </c>
      <c r="E118" s="10" t="s">
        <v>12</v>
      </c>
      <c r="F118" s="10" t="s">
        <v>13</v>
      </c>
      <c r="G118" s="10" t="s">
        <v>14</v>
      </c>
      <c r="H118">
        <v>3</v>
      </c>
      <c r="I118">
        <v>2</v>
      </c>
      <c r="J118">
        <v>-5</v>
      </c>
    </row>
    <row r="119" spans="1:10" x14ac:dyDescent="0.35">
      <c r="A119" s="11">
        <v>44271</v>
      </c>
      <c r="B119" s="10" t="s">
        <v>11</v>
      </c>
      <c r="C119">
        <v>5</v>
      </c>
      <c r="E119" s="10" t="s">
        <v>12</v>
      </c>
      <c r="F119" s="10" t="s">
        <v>13</v>
      </c>
      <c r="G119" s="10" t="s">
        <v>14</v>
      </c>
      <c r="H119">
        <v>3</v>
      </c>
      <c r="I119">
        <v>3</v>
      </c>
      <c r="J119">
        <v>-5</v>
      </c>
    </row>
    <row r="120" spans="1:10" x14ac:dyDescent="0.35">
      <c r="A120" s="11">
        <v>44271</v>
      </c>
      <c r="B120" s="10" t="s">
        <v>52</v>
      </c>
      <c r="C120">
        <v>75</v>
      </c>
      <c r="E120" s="10" t="s">
        <v>53</v>
      </c>
      <c r="F120" s="10" t="s">
        <v>54</v>
      </c>
      <c r="G120" s="10" t="s">
        <v>14</v>
      </c>
      <c r="H120">
        <v>3</v>
      </c>
      <c r="I120">
        <v>3</v>
      </c>
      <c r="J120">
        <v>-75</v>
      </c>
    </row>
    <row r="121" spans="1:10" x14ac:dyDescent="0.35">
      <c r="A121" s="11">
        <v>44271</v>
      </c>
      <c r="B121" s="10" t="s">
        <v>39</v>
      </c>
      <c r="C121">
        <v>40</v>
      </c>
      <c r="E121" s="10" t="s">
        <v>39</v>
      </c>
      <c r="F121" s="10" t="s">
        <v>17</v>
      </c>
      <c r="G121" s="10" t="s">
        <v>14</v>
      </c>
      <c r="H121">
        <v>3</v>
      </c>
      <c r="I121">
        <v>3</v>
      </c>
      <c r="J121">
        <v>-40</v>
      </c>
    </row>
    <row r="122" spans="1:10" x14ac:dyDescent="0.35">
      <c r="A122" s="11">
        <v>44272</v>
      </c>
      <c r="B122" s="10" t="s">
        <v>40</v>
      </c>
      <c r="C122">
        <v>46.8</v>
      </c>
      <c r="E122" s="10" t="s">
        <v>41</v>
      </c>
      <c r="F122" s="10" t="s">
        <v>28</v>
      </c>
      <c r="G122" s="10" t="s">
        <v>14</v>
      </c>
      <c r="H122">
        <v>3</v>
      </c>
      <c r="I122">
        <v>4</v>
      </c>
      <c r="J122">
        <v>-46.8</v>
      </c>
    </row>
    <row r="123" spans="1:10" x14ac:dyDescent="0.35">
      <c r="A123" s="11">
        <v>44272</v>
      </c>
      <c r="B123" s="10" t="s">
        <v>42</v>
      </c>
      <c r="C123">
        <v>35</v>
      </c>
      <c r="E123" s="10" t="s">
        <v>27</v>
      </c>
      <c r="F123" s="10" t="s">
        <v>28</v>
      </c>
      <c r="G123" s="10" t="s">
        <v>14</v>
      </c>
      <c r="H123">
        <v>3</v>
      </c>
      <c r="I123">
        <v>4</v>
      </c>
      <c r="J123">
        <v>-35</v>
      </c>
    </row>
    <row r="124" spans="1:10" x14ac:dyDescent="0.35">
      <c r="A124" s="11">
        <v>44272</v>
      </c>
      <c r="B124" s="10" t="s">
        <v>11</v>
      </c>
      <c r="C124">
        <v>5</v>
      </c>
      <c r="E124" s="10" t="s">
        <v>12</v>
      </c>
      <c r="F124" s="10" t="s">
        <v>13</v>
      </c>
      <c r="G124" s="10" t="s">
        <v>14</v>
      </c>
      <c r="H124">
        <v>3</v>
      </c>
      <c r="I124">
        <v>4</v>
      </c>
      <c r="J124">
        <v>-5</v>
      </c>
    </row>
    <row r="125" spans="1:10" x14ac:dyDescent="0.35">
      <c r="A125" s="11">
        <v>44273</v>
      </c>
      <c r="B125" s="10" t="s">
        <v>11</v>
      </c>
      <c r="C125">
        <v>5</v>
      </c>
      <c r="E125" s="10" t="s">
        <v>12</v>
      </c>
      <c r="F125" s="10" t="s">
        <v>13</v>
      </c>
      <c r="G125" s="10" t="s">
        <v>14</v>
      </c>
      <c r="H125">
        <v>3</v>
      </c>
      <c r="I125">
        <v>5</v>
      </c>
      <c r="J125">
        <v>-5</v>
      </c>
    </row>
    <row r="126" spans="1:10" x14ac:dyDescent="0.35">
      <c r="A126" s="11">
        <v>44274</v>
      </c>
      <c r="B126" s="10" t="s">
        <v>11</v>
      </c>
      <c r="C126">
        <v>5</v>
      </c>
      <c r="E126" s="10" t="s">
        <v>12</v>
      </c>
      <c r="F126" s="10" t="s">
        <v>13</v>
      </c>
      <c r="G126" s="10" t="s">
        <v>14</v>
      </c>
      <c r="H126">
        <v>3</v>
      </c>
      <c r="I126">
        <v>6</v>
      </c>
      <c r="J126">
        <v>-5</v>
      </c>
    </row>
    <row r="127" spans="1:10" x14ac:dyDescent="0.35">
      <c r="A127" s="11">
        <v>44274</v>
      </c>
      <c r="B127" s="10" t="s">
        <v>21</v>
      </c>
      <c r="C127">
        <v>171.9</v>
      </c>
      <c r="E127" s="10" t="s">
        <v>22</v>
      </c>
      <c r="F127" s="10" t="s">
        <v>17</v>
      </c>
      <c r="G127" s="10" t="s">
        <v>14</v>
      </c>
      <c r="H127">
        <v>3</v>
      </c>
      <c r="I127">
        <v>6</v>
      </c>
      <c r="J127">
        <v>-171.9</v>
      </c>
    </row>
    <row r="128" spans="1:10" x14ac:dyDescent="0.35">
      <c r="A128" s="11">
        <v>44275</v>
      </c>
      <c r="B128" s="10" t="s">
        <v>43</v>
      </c>
      <c r="C128">
        <v>39</v>
      </c>
      <c r="E128" s="10" t="s">
        <v>32</v>
      </c>
      <c r="F128" s="10" t="s">
        <v>13</v>
      </c>
      <c r="G128" s="10" t="s">
        <v>14</v>
      </c>
      <c r="H128">
        <v>3</v>
      </c>
      <c r="I128">
        <v>7</v>
      </c>
      <c r="J128">
        <v>-39</v>
      </c>
    </row>
    <row r="129" spans="1:10" x14ac:dyDescent="0.35">
      <c r="A129" s="11">
        <v>44276</v>
      </c>
      <c r="B129" s="10" t="s">
        <v>44</v>
      </c>
      <c r="C129">
        <v>14</v>
      </c>
      <c r="E129" s="10" t="s">
        <v>32</v>
      </c>
      <c r="F129" s="10" t="s">
        <v>13</v>
      </c>
      <c r="G129" s="10" t="s">
        <v>14</v>
      </c>
      <c r="H129">
        <v>3</v>
      </c>
      <c r="I129">
        <v>1</v>
      </c>
      <c r="J129">
        <v>-14</v>
      </c>
    </row>
    <row r="130" spans="1:10" x14ac:dyDescent="0.35">
      <c r="A130" s="11">
        <v>44277</v>
      </c>
      <c r="B130" s="10" t="s">
        <v>45</v>
      </c>
      <c r="C130">
        <v>55</v>
      </c>
      <c r="E130" s="10" t="s">
        <v>46</v>
      </c>
      <c r="F130" s="10" t="s">
        <v>47</v>
      </c>
      <c r="G130" s="10" t="s">
        <v>14</v>
      </c>
      <c r="H130">
        <v>3</v>
      </c>
      <c r="I130">
        <v>2</v>
      </c>
      <c r="J130">
        <v>-55</v>
      </c>
    </row>
    <row r="131" spans="1:10" x14ac:dyDescent="0.35">
      <c r="A131" s="11">
        <v>44277</v>
      </c>
      <c r="B131" s="10" t="s">
        <v>25</v>
      </c>
      <c r="C131">
        <v>65</v>
      </c>
      <c r="E131" s="10" t="s">
        <v>48</v>
      </c>
      <c r="F131" s="10" t="s">
        <v>20</v>
      </c>
      <c r="G131" s="10" t="s">
        <v>14</v>
      </c>
      <c r="H131">
        <v>3</v>
      </c>
      <c r="I131">
        <v>2</v>
      </c>
      <c r="J131">
        <v>-65</v>
      </c>
    </row>
    <row r="132" spans="1:10" x14ac:dyDescent="0.35">
      <c r="A132" s="11">
        <v>44277</v>
      </c>
      <c r="B132" s="10" t="s">
        <v>11</v>
      </c>
      <c r="C132">
        <v>5</v>
      </c>
      <c r="E132" s="10" t="s">
        <v>12</v>
      </c>
      <c r="F132" s="10" t="s">
        <v>13</v>
      </c>
      <c r="G132" s="10" t="s">
        <v>14</v>
      </c>
      <c r="H132">
        <v>3</v>
      </c>
      <c r="I132">
        <v>2</v>
      </c>
      <c r="J132">
        <v>-5</v>
      </c>
    </row>
    <row r="133" spans="1:10" x14ac:dyDescent="0.35">
      <c r="A133" s="11">
        <v>44278</v>
      </c>
      <c r="B133" s="10" t="s">
        <v>11</v>
      </c>
      <c r="C133">
        <v>5</v>
      </c>
      <c r="E133" s="10" t="s">
        <v>12</v>
      </c>
      <c r="F133" s="10" t="s">
        <v>13</v>
      </c>
      <c r="G133" s="10" t="s">
        <v>14</v>
      </c>
      <c r="H133">
        <v>3</v>
      </c>
      <c r="I133">
        <v>3</v>
      </c>
      <c r="J133">
        <v>-5</v>
      </c>
    </row>
    <row r="134" spans="1:10" x14ac:dyDescent="0.35">
      <c r="A134" s="11">
        <v>44279</v>
      </c>
      <c r="B134" s="10" t="s">
        <v>11</v>
      </c>
      <c r="C134">
        <v>5</v>
      </c>
      <c r="E134" s="10" t="s">
        <v>12</v>
      </c>
      <c r="F134" s="10" t="s">
        <v>13</v>
      </c>
      <c r="G134" s="10" t="s">
        <v>14</v>
      </c>
      <c r="H134">
        <v>3</v>
      </c>
      <c r="I134">
        <v>4</v>
      </c>
      <c r="J134">
        <v>-5</v>
      </c>
    </row>
    <row r="135" spans="1:10" x14ac:dyDescent="0.35">
      <c r="A135" s="11">
        <v>44280</v>
      </c>
      <c r="B135" s="10" t="s">
        <v>11</v>
      </c>
      <c r="C135">
        <v>5</v>
      </c>
      <c r="E135" s="10" t="s">
        <v>12</v>
      </c>
      <c r="F135" s="10" t="s">
        <v>13</v>
      </c>
      <c r="G135" s="10" t="s">
        <v>14</v>
      </c>
      <c r="H135">
        <v>3</v>
      </c>
      <c r="I135">
        <v>5</v>
      </c>
      <c r="J135">
        <v>-5</v>
      </c>
    </row>
    <row r="136" spans="1:10" x14ac:dyDescent="0.35">
      <c r="A136" s="11">
        <v>44281</v>
      </c>
      <c r="B136" s="10" t="s">
        <v>11</v>
      </c>
      <c r="C136">
        <v>5</v>
      </c>
      <c r="E136" s="10" t="s">
        <v>12</v>
      </c>
      <c r="F136" s="10" t="s">
        <v>13</v>
      </c>
      <c r="G136" s="10" t="s">
        <v>14</v>
      </c>
      <c r="H136">
        <v>3</v>
      </c>
      <c r="I136">
        <v>6</v>
      </c>
      <c r="J136">
        <v>-5</v>
      </c>
    </row>
    <row r="137" spans="1:10" x14ac:dyDescent="0.35">
      <c r="A137" s="11">
        <v>44281</v>
      </c>
      <c r="B137" s="10" t="s">
        <v>21</v>
      </c>
      <c r="C137">
        <v>209</v>
      </c>
      <c r="E137" s="10" t="s">
        <v>22</v>
      </c>
      <c r="F137" s="10" t="s">
        <v>17</v>
      </c>
      <c r="G137" s="10" t="s">
        <v>14</v>
      </c>
      <c r="H137">
        <v>3</v>
      </c>
      <c r="I137">
        <v>6</v>
      </c>
      <c r="J137">
        <v>-209</v>
      </c>
    </row>
    <row r="138" spans="1:10" x14ac:dyDescent="0.35">
      <c r="A138" s="11">
        <v>44282</v>
      </c>
      <c r="B138" s="10" t="s">
        <v>49</v>
      </c>
      <c r="C138">
        <v>127</v>
      </c>
      <c r="E138" s="10" t="s">
        <v>30</v>
      </c>
      <c r="F138" s="10" t="s">
        <v>28</v>
      </c>
      <c r="G138" s="10" t="s">
        <v>14</v>
      </c>
      <c r="H138">
        <v>3</v>
      </c>
      <c r="I138">
        <v>7</v>
      </c>
      <c r="J138">
        <v>-127</v>
      </c>
    </row>
    <row r="139" spans="1:10" x14ac:dyDescent="0.35">
      <c r="A139" s="11">
        <v>44282</v>
      </c>
      <c r="B139" s="10" t="s">
        <v>55</v>
      </c>
      <c r="C139">
        <v>177.2</v>
      </c>
      <c r="E139" s="10" t="s">
        <v>30</v>
      </c>
      <c r="F139" s="10" t="s">
        <v>28</v>
      </c>
      <c r="G139" s="10" t="s">
        <v>14</v>
      </c>
      <c r="H139">
        <v>3</v>
      </c>
      <c r="I139">
        <v>7</v>
      </c>
      <c r="J139">
        <v>-177.2</v>
      </c>
    </row>
    <row r="140" spans="1:10" x14ac:dyDescent="0.35">
      <c r="A140" s="11">
        <v>44283</v>
      </c>
      <c r="B140" s="10" t="s">
        <v>29</v>
      </c>
      <c r="C140">
        <v>147.1</v>
      </c>
      <c r="E140" s="10" t="s">
        <v>30</v>
      </c>
      <c r="F140" s="10" t="s">
        <v>28</v>
      </c>
      <c r="G140" s="10" t="s">
        <v>14</v>
      </c>
      <c r="H140">
        <v>3</v>
      </c>
      <c r="I140">
        <v>1</v>
      </c>
      <c r="J140">
        <v>-147.1</v>
      </c>
    </row>
    <row r="141" spans="1:10" x14ac:dyDescent="0.35">
      <c r="A141" s="11">
        <v>44283</v>
      </c>
      <c r="B141" s="10" t="s">
        <v>33</v>
      </c>
      <c r="C141">
        <v>25</v>
      </c>
      <c r="E141" s="10" t="s">
        <v>34</v>
      </c>
      <c r="F141" s="10" t="s">
        <v>20</v>
      </c>
      <c r="G141" s="10" t="s">
        <v>14</v>
      </c>
      <c r="H141">
        <v>3</v>
      </c>
      <c r="I141">
        <v>1</v>
      </c>
      <c r="J141">
        <v>-25</v>
      </c>
    </row>
    <row r="142" spans="1:10" x14ac:dyDescent="0.35">
      <c r="A142" s="11">
        <v>44284</v>
      </c>
      <c r="B142" s="10" t="s">
        <v>56</v>
      </c>
      <c r="C142">
        <v>15</v>
      </c>
      <c r="E142" s="10" t="s">
        <v>32</v>
      </c>
      <c r="F142" s="10" t="s">
        <v>13</v>
      </c>
      <c r="G142" s="10" t="s">
        <v>14</v>
      </c>
      <c r="H142">
        <v>3</v>
      </c>
      <c r="I142">
        <v>2</v>
      </c>
      <c r="J142">
        <v>-15</v>
      </c>
    </row>
    <row r="143" spans="1:10" x14ac:dyDescent="0.35">
      <c r="A143" s="11">
        <v>44285</v>
      </c>
      <c r="B143" s="10" t="s">
        <v>11</v>
      </c>
      <c r="C143">
        <v>5</v>
      </c>
      <c r="E143" s="10" t="s">
        <v>12</v>
      </c>
      <c r="F143" s="10" t="s">
        <v>13</v>
      </c>
      <c r="G143" s="10" t="s">
        <v>14</v>
      </c>
      <c r="H143">
        <v>3</v>
      </c>
      <c r="I143">
        <v>3</v>
      </c>
      <c r="J143">
        <v>-5</v>
      </c>
    </row>
    <row r="144" spans="1:10" x14ac:dyDescent="0.35">
      <c r="A144" s="11">
        <v>44286</v>
      </c>
      <c r="B144" s="10" t="s">
        <v>11</v>
      </c>
      <c r="C144">
        <v>5</v>
      </c>
      <c r="E144" s="10" t="s">
        <v>12</v>
      </c>
      <c r="F144" s="10" t="s">
        <v>13</v>
      </c>
      <c r="G144" s="10" t="s">
        <v>14</v>
      </c>
      <c r="H144">
        <v>3</v>
      </c>
      <c r="I144">
        <v>4</v>
      </c>
      <c r="J144">
        <v>-5</v>
      </c>
    </row>
    <row r="145" spans="1:10" x14ac:dyDescent="0.35">
      <c r="A145" s="11">
        <v>44287</v>
      </c>
      <c r="B145" s="10" t="s">
        <v>7</v>
      </c>
      <c r="D145">
        <v>5000</v>
      </c>
      <c r="E145" s="10" t="s">
        <v>8</v>
      </c>
      <c r="F145" s="10" t="s">
        <v>9</v>
      </c>
      <c r="G145" s="10" t="s">
        <v>10</v>
      </c>
      <c r="H145">
        <v>4</v>
      </c>
      <c r="I145">
        <v>5</v>
      </c>
      <c r="J145">
        <v>5000</v>
      </c>
    </row>
    <row r="146" spans="1:10" x14ac:dyDescent="0.35">
      <c r="A146" s="11">
        <v>44287</v>
      </c>
      <c r="B146" s="10" t="s">
        <v>11</v>
      </c>
      <c r="C146">
        <v>5</v>
      </c>
      <c r="E146" s="10" t="s">
        <v>12</v>
      </c>
      <c r="F146" s="10" t="s">
        <v>13</v>
      </c>
      <c r="G146" s="10" t="s">
        <v>14</v>
      </c>
      <c r="H146">
        <v>4</v>
      </c>
      <c r="I146">
        <v>5</v>
      </c>
      <c r="J146">
        <v>-5</v>
      </c>
    </row>
    <row r="147" spans="1:10" x14ac:dyDescent="0.35">
      <c r="A147" s="11">
        <v>44288</v>
      </c>
      <c r="B147" s="10" t="s">
        <v>15</v>
      </c>
      <c r="C147">
        <v>900</v>
      </c>
      <c r="E147" s="10" t="s">
        <v>16</v>
      </c>
      <c r="F147" s="10" t="s">
        <v>17</v>
      </c>
      <c r="G147" s="10" t="s">
        <v>14</v>
      </c>
      <c r="H147">
        <v>4</v>
      </c>
      <c r="I147">
        <v>6</v>
      </c>
      <c r="J147">
        <v>-900</v>
      </c>
    </row>
    <row r="148" spans="1:10" x14ac:dyDescent="0.35">
      <c r="A148" s="11">
        <v>44288</v>
      </c>
      <c r="B148" s="10" t="s">
        <v>18</v>
      </c>
      <c r="C148">
        <v>150</v>
      </c>
      <c r="E148" s="10" t="s">
        <v>19</v>
      </c>
      <c r="F148" s="10" t="s">
        <v>20</v>
      </c>
      <c r="G148" s="10" t="s">
        <v>14</v>
      </c>
      <c r="H148">
        <v>4</v>
      </c>
      <c r="I148">
        <v>6</v>
      </c>
      <c r="J148">
        <v>-150</v>
      </c>
    </row>
    <row r="149" spans="1:10" x14ac:dyDescent="0.35">
      <c r="A149" s="11">
        <v>44288</v>
      </c>
      <c r="B149" s="10" t="s">
        <v>11</v>
      </c>
      <c r="C149">
        <v>5</v>
      </c>
      <c r="E149" s="10" t="s">
        <v>12</v>
      </c>
      <c r="F149" s="10" t="s">
        <v>13</v>
      </c>
      <c r="G149" s="10" t="s">
        <v>14</v>
      </c>
      <c r="H149">
        <v>4</v>
      </c>
      <c r="I149">
        <v>6</v>
      </c>
      <c r="J149">
        <v>-5</v>
      </c>
    </row>
    <row r="150" spans="1:10" x14ac:dyDescent="0.35">
      <c r="A150" s="11">
        <v>44289</v>
      </c>
      <c r="B150" s="10" t="s">
        <v>11</v>
      </c>
      <c r="C150">
        <v>5</v>
      </c>
      <c r="E150" s="10" t="s">
        <v>12</v>
      </c>
      <c r="F150" s="10" t="s">
        <v>13</v>
      </c>
      <c r="G150" s="10" t="s">
        <v>14</v>
      </c>
      <c r="H150">
        <v>4</v>
      </c>
      <c r="I150">
        <v>7</v>
      </c>
      <c r="J150">
        <v>-5</v>
      </c>
    </row>
    <row r="151" spans="1:10" x14ac:dyDescent="0.35">
      <c r="A151" s="11">
        <v>44290</v>
      </c>
      <c r="B151" s="10" t="s">
        <v>11</v>
      </c>
      <c r="C151">
        <v>5</v>
      </c>
      <c r="E151" s="10" t="s">
        <v>12</v>
      </c>
      <c r="F151" s="10" t="s">
        <v>13</v>
      </c>
      <c r="G151" s="10" t="s">
        <v>14</v>
      </c>
      <c r="H151">
        <v>4</v>
      </c>
      <c r="I151">
        <v>1</v>
      </c>
      <c r="J151">
        <v>-5</v>
      </c>
    </row>
    <row r="152" spans="1:10" x14ac:dyDescent="0.35">
      <c r="A152" s="11">
        <v>44291</v>
      </c>
      <c r="B152" s="10" t="s">
        <v>11</v>
      </c>
      <c r="C152">
        <v>5</v>
      </c>
      <c r="E152" s="10" t="s">
        <v>12</v>
      </c>
      <c r="F152" s="10" t="s">
        <v>13</v>
      </c>
      <c r="G152" s="10" t="s">
        <v>14</v>
      </c>
      <c r="H152">
        <v>4</v>
      </c>
      <c r="I152">
        <v>2</v>
      </c>
      <c r="J152">
        <v>-5</v>
      </c>
    </row>
    <row r="153" spans="1:10" x14ac:dyDescent="0.35">
      <c r="A153" s="11">
        <v>44291</v>
      </c>
      <c r="B153" s="10" t="s">
        <v>21</v>
      </c>
      <c r="C153">
        <v>158.19999999999999</v>
      </c>
      <c r="E153" s="10" t="s">
        <v>22</v>
      </c>
      <c r="F153" s="10" t="s">
        <v>17</v>
      </c>
      <c r="G153" s="10" t="s">
        <v>14</v>
      </c>
      <c r="H153">
        <v>4</v>
      </c>
      <c r="I153">
        <v>2</v>
      </c>
      <c r="J153">
        <v>-158.19999999999999</v>
      </c>
    </row>
    <row r="154" spans="1:10" x14ac:dyDescent="0.35">
      <c r="A154" s="11">
        <v>44294</v>
      </c>
      <c r="B154" s="10" t="s">
        <v>23</v>
      </c>
      <c r="C154">
        <v>53.2</v>
      </c>
      <c r="E154" s="10" t="s">
        <v>24</v>
      </c>
      <c r="F154" s="10" t="s">
        <v>17</v>
      </c>
      <c r="G154" s="10" t="s">
        <v>14</v>
      </c>
      <c r="H154">
        <v>4</v>
      </c>
      <c r="I154">
        <v>5</v>
      </c>
      <c r="J154">
        <v>-53.2</v>
      </c>
    </row>
    <row r="155" spans="1:10" x14ac:dyDescent="0.35">
      <c r="A155" s="11">
        <v>44294</v>
      </c>
      <c r="B155" s="10" t="s">
        <v>11</v>
      </c>
      <c r="C155">
        <v>5</v>
      </c>
      <c r="E155" s="10" t="s">
        <v>12</v>
      </c>
      <c r="F155" s="10" t="s">
        <v>13</v>
      </c>
      <c r="G155" s="10" t="s">
        <v>14</v>
      </c>
      <c r="H155">
        <v>4</v>
      </c>
      <c r="I155">
        <v>5</v>
      </c>
      <c r="J155">
        <v>-5</v>
      </c>
    </row>
    <row r="156" spans="1:10" x14ac:dyDescent="0.35">
      <c r="A156" s="11">
        <v>44295</v>
      </c>
      <c r="B156" s="10" t="s">
        <v>11</v>
      </c>
      <c r="C156">
        <v>5</v>
      </c>
      <c r="E156" s="10" t="s">
        <v>12</v>
      </c>
      <c r="F156" s="10" t="s">
        <v>13</v>
      </c>
      <c r="G156" s="10" t="s">
        <v>14</v>
      </c>
      <c r="H156">
        <v>4</v>
      </c>
      <c r="I156">
        <v>6</v>
      </c>
      <c r="J156">
        <v>-5</v>
      </c>
    </row>
    <row r="157" spans="1:10" x14ac:dyDescent="0.35">
      <c r="A157" s="11">
        <v>44296</v>
      </c>
      <c r="B157" s="10" t="s">
        <v>25</v>
      </c>
      <c r="C157">
        <v>79.900000000000006</v>
      </c>
      <c r="E157" s="10" t="s">
        <v>48</v>
      </c>
      <c r="F157" s="10" t="s">
        <v>20</v>
      </c>
      <c r="G157" s="10" t="s">
        <v>14</v>
      </c>
      <c r="H157">
        <v>4</v>
      </c>
      <c r="I157">
        <v>7</v>
      </c>
      <c r="J157">
        <v>-79.900000000000006</v>
      </c>
    </row>
    <row r="158" spans="1:10" x14ac:dyDescent="0.35">
      <c r="A158" s="11">
        <v>44296</v>
      </c>
      <c r="B158" s="10" t="s">
        <v>11</v>
      </c>
      <c r="C158">
        <v>5</v>
      </c>
      <c r="E158" s="10" t="s">
        <v>12</v>
      </c>
      <c r="F158" s="10" t="s">
        <v>13</v>
      </c>
      <c r="G158" s="10" t="s">
        <v>14</v>
      </c>
      <c r="H158">
        <v>4</v>
      </c>
      <c r="I158">
        <v>7</v>
      </c>
      <c r="J158">
        <v>-5</v>
      </c>
    </row>
    <row r="159" spans="1:10" x14ac:dyDescent="0.35">
      <c r="A159" s="11">
        <v>44297</v>
      </c>
      <c r="B159" s="10" t="s">
        <v>11</v>
      </c>
      <c r="C159">
        <v>5</v>
      </c>
      <c r="E159" s="10" t="s">
        <v>12</v>
      </c>
      <c r="F159" s="10" t="s">
        <v>13</v>
      </c>
      <c r="G159" s="10" t="s">
        <v>14</v>
      </c>
      <c r="H159">
        <v>4</v>
      </c>
      <c r="I159">
        <v>1</v>
      </c>
      <c r="J159">
        <v>-5</v>
      </c>
    </row>
    <row r="160" spans="1:10" x14ac:dyDescent="0.35">
      <c r="A160" s="11">
        <v>44298</v>
      </c>
      <c r="B160" s="10" t="s">
        <v>21</v>
      </c>
      <c r="C160">
        <v>98</v>
      </c>
      <c r="E160" s="10" t="s">
        <v>22</v>
      </c>
      <c r="F160" s="10" t="s">
        <v>17</v>
      </c>
      <c r="G160" s="10" t="s">
        <v>14</v>
      </c>
      <c r="H160">
        <v>4</v>
      </c>
      <c r="I160">
        <v>2</v>
      </c>
      <c r="J160">
        <v>-98</v>
      </c>
    </row>
    <row r="161" spans="1:10" x14ac:dyDescent="0.35">
      <c r="A161" s="11">
        <v>44298</v>
      </c>
      <c r="B161" s="10" t="s">
        <v>11</v>
      </c>
      <c r="C161">
        <v>5</v>
      </c>
      <c r="E161" s="10" t="s">
        <v>12</v>
      </c>
      <c r="F161" s="10" t="s">
        <v>13</v>
      </c>
      <c r="G161" s="10" t="s">
        <v>14</v>
      </c>
      <c r="H161">
        <v>4</v>
      </c>
      <c r="I161">
        <v>2</v>
      </c>
      <c r="J161">
        <v>-5</v>
      </c>
    </row>
    <row r="162" spans="1:10" x14ac:dyDescent="0.35">
      <c r="A162" s="11">
        <v>44299</v>
      </c>
      <c r="B162" s="10" t="s">
        <v>11</v>
      </c>
      <c r="C162">
        <v>5</v>
      </c>
      <c r="E162" s="10" t="s">
        <v>12</v>
      </c>
      <c r="F162" s="10" t="s">
        <v>13</v>
      </c>
      <c r="G162" s="10" t="s">
        <v>14</v>
      </c>
      <c r="H162">
        <v>4</v>
      </c>
      <c r="I162">
        <v>3</v>
      </c>
      <c r="J162">
        <v>-5</v>
      </c>
    </row>
    <row r="163" spans="1:10" x14ac:dyDescent="0.35">
      <c r="A163" s="11">
        <v>44299</v>
      </c>
      <c r="B163" s="10" t="s">
        <v>26</v>
      </c>
      <c r="C163">
        <v>42.8</v>
      </c>
      <c r="E163" s="10" t="s">
        <v>27</v>
      </c>
      <c r="F163" s="10" t="s">
        <v>28</v>
      </c>
      <c r="G163" s="10" t="s">
        <v>14</v>
      </c>
      <c r="H163">
        <v>4</v>
      </c>
      <c r="I163">
        <v>3</v>
      </c>
      <c r="J163">
        <v>-42.8</v>
      </c>
    </row>
    <row r="164" spans="1:10" x14ac:dyDescent="0.35">
      <c r="A164" s="11">
        <v>44299</v>
      </c>
      <c r="B164" s="10" t="s">
        <v>29</v>
      </c>
      <c r="C164">
        <v>100.9</v>
      </c>
      <c r="E164" s="10" t="s">
        <v>30</v>
      </c>
      <c r="F164" s="10" t="s">
        <v>28</v>
      </c>
      <c r="G164" s="10" t="s">
        <v>14</v>
      </c>
      <c r="H164">
        <v>4</v>
      </c>
      <c r="I164">
        <v>3</v>
      </c>
      <c r="J164">
        <v>-100.9</v>
      </c>
    </row>
    <row r="165" spans="1:10" x14ac:dyDescent="0.35">
      <c r="A165" s="11">
        <v>44299</v>
      </c>
      <c r="B165" s="10" t="s">
        <v>31</v>
      </c>
      <c r="C165">
        <v>54.9</v>
      </c>
      <c r="E165" s="10" t="s">
        <v>32</v>
      </c>
      <c r="F165" s="10" t="s">
        <v>13</v>
      </c>
      <c r="G165" s="10" t="s">
        <v>14</v>
      </c>
      <c r="H165">
        <v>4</v>
      </c>
      <c r="I165">
        <v>3</v>
      </c>
      <c r="J165">
        <v>-54.9</v>
      </c>
    </row>
    <row r="166" spans="1:10" x14ac:dyDescent="0.35">
      <c r="A166" s="11">
        <v>44300</v>
      </c>
      <c r="B166" s="10" t="s">
        <v>33</v>
      </c>
      <c r="C166">
        <v>31</v>
      </c>
      <c r="E166" s="10" t="s">
        <v>34</v>
      </c>
      <c r="F166" s="10" t="s">
        <v>20</v>
      </c>
      <c r="G166" s="10" t="s">
        <v>14</v>
      </c>
      <c r="H166">
        <v>4</v>
      </c>
      <c r="I166">
        <v>4</v>
      </c>
      <c r="J166">
        <v>-31</v>
      </c>
    </row>
    <row r="167" spans="1:10" x14ac:dyDescent="0.35">
      <c r="A167" s="11">
        <v>44301</v>
      </c>
      <c r="B167" s="10" t="s">
        <v>35</v>
      </c>
      <c r="D167">
        <v>2340</v>
      </c>
      <c r="E167" s="10" t="s">
        <v>36</v>
      </c>
      <c r="F167" s="10" t="s">
        <v>37</v>
      </c>
      <c r="G167" s="10" t="s">
        <v>10</v>
      </c>
      <c r="H167">
        <v>4</v>
      </c>
      <c r="I167">
        <v>5</v>
      </c>
      <c r="J167">
        <v>2340</v>
      </c>
    </row>
    <row r="168" spans="1:10" x14ac:dyDescent="0.35">
      <c r="A168" s="11">
        <v>44301</v>
      </c>
      <c r="B168" s="10" t="s">
        <v>11</v>
      </c>
      <c r="C168">
        <v>5</v>
      </c>
      <c r="E168" s="10" t="s">
        <v>12</v>
      </c>
      <c r="F168" s="10" t="s">
        <v>13</v>
      </c>
      <c r="G168" s="10" t="s">
        <v>14</v>
      </c>
      <c r="H168">
        <v>4</v>
      </c>
      <c r="I168">
        <v>5</v>
      </c>
      <c r="J168">
        <v>-5</v>
      </c>
    </row>
    <row r="169" spans="1:10" x14ac:dyDescent="0.35">
      <c r="A169" s="11">
        <v>44302</v>
      </c>
      <c r="B169" s="10" t="s">
        <v>11</v>
      </c>
      <c r="C169">
        <v>5</v>
      </c>
      <c r="E169" s="10" t="s">
        <v>12</v>
      </c>
      <c r="F169" s="10" t="s">
        <v>13</v>
      </c>
      <c r="G169" s="10" t="s">
        <v>14</v>
      </c>
      <c r="H169">
        <v>4</v>
      </c>
      <c r="I169">
        <v>6</v>
      </c>
      <c r="J169">
        <v>-5</v>
      </c>
    </row>
    <row r="170" spans="1:10" x14ac:dyDescent="0.35">
      <c r="A170" s="11">
        <v>44302</v>
      </c>
      <c r="B170" s="10" t="s">
        <v>39</v>
      </c>
      <c r="C170">
        <v>40</v>
      </c>
      <c r="E170" s="10" t="s">
        <v>39</v>
      </c>
      <c r="F170" s="10" t="s">
        <v>17</v>
      </c>
      <c r="G170" s="10" t="s">
        <v>14</v>
      </c>
      <c r="H170">
        <v>4</v>
      </c>
      <c r="I170">
        <v>6</v>
      </c>
      <c r="J170">
        <v>-40</v>
      </c>
    </row>
    <row r="171" spans="1:10" x14ac:dyDescent="0.35">
      <c r="A171" s="11">
        <v>44303</v>
      </c>
      <c r="B171" s="10" t="s">
        <v>40</v>
      </c>
      <c r="C171">
        <v>47.9</v>
      </c>
      <c r="E171" s="10" t="s">
        <v>41</v>
      </c>
      <c r="F171" s="10" t="s">
        <v>28</v>
      </c>
      <c r="G171" s="10" t="s">
        <v>14</v>
      </c>
      <c r="H171">
        <v>4</v>
      </c>
      <c r="I171">
        <v>7</v>
      </c>
      <c r="J171">
        <v>-47.9</v>
      </c>
    </row>
    <row r="172" spans="1:10" x14ac:dyDescent="0.35">
      <c r="A172" s="11">
        <v>44303</v>
      </c>
      <c r="B172" s="10" t="s">
        <v>42</v>
      </c>
      <c r="C172">
        <v>35</v>
      </c>
      <c r="E172" s="10" t="s">
        <v>27</v>
      </c>
      <c r="F172" s="10" t="s">
        <v>28</v>
      </c>
      <c r="G172" s="10" t="s">
        <v>14</v>
      </c>
      <c r="H172">
        <v>4</v>
      </c>
      <c r="I172">
        <v>7</v>
      </c>
      <c r="J172">
        <v>-35</v>
      </c>
    </row>
    <row r="173" spans="1:10" x14ac:dyDescent="0.35">
      <c r="A173" s="11">
        <v>44303</v>
      </c>
      <c r="B173" s="10" t="s">
        <v>11</v>
      </c>
      <c r="C173">
        <v>5</v>
      </c>
      <c r="E173" s="10" t="s">
        <v>12</v>
      </c>
      <c r="F173" s="10" t="s">
        <v>13</v>
      </c>
      <c r="G173" s="10" t="s">
        <v>14</v>
      </c>
      <c r="H173">
        <v>4</v>
      </c>
      <c r="I173">
        <v>7</v>
      </c>
      <c r="J173">
        <v>-5</v>
      </c>
    </row>
    <row r="174" spans="1:10" x14ac:dyDescent="0.35">
      <c r="A174" s="11">
        <v>44304</v>
      </c>
      <c r="B174" s="10" t="s">
        <v>11</v>
      </c>
      <c r="C174">
        <v>5</v>
      </c>
      <c r="E174" s="10" t="s">
        <v>12</v>
      </c>
      <c r="F174" s="10" t="s">
        <v>13</v>
      </c>
      <c r="G174" s="10" t="s">
        <v>14</v>
      </c>
      <c r="H174">
        <v>4</v>
      </c>
      <c r="I174">
        <v>1</v>
      </c>
      <c r="J174">
        <v>-5</v>
      </c>
    </row>
    <row r="175" spans="1:10" x14ac:dyDescent="0.35">
      <c r="A175" s="11">
        <v>44305</v>
      </c>
      <c r="B175" s="10" t="s">
        <v>11</v>
      </c>
      <c r="C175">
        <v>5</v>
      </c>
      <c r="E175" s="10" t="s">
        <v>12</v>
      </c>
      <c r="F175" s="10" t="s">
        <v>13</v>
      </c>
      <c r="G175" s="10" t="s">
        <v>14</v>
      </c>
      <c r="H175">
        <v>4</v>
      </c>
      <c r="I175">
        <v>2</v>
      </c>
      <c r="J175">
        <v>-5</v>
      </c>
    </row>
    <row r="176" spans="1:10" x14ac:dyDescent="0.35">
      <c r="A176" s="11">
        <v>44305</v>
      </c>
      <c r="B176" s="10" t="s">
        <v>21</v>
      </c>
      <c r="C176">
        <v>173</v>
      </c>
      <c r="E176" s="10" t="s">
        <v>22</v>
      </c>
      <c r="F176" s="10" t="s">
        <v>17</v>
      </c>
      <c r="G176" s="10" t="s">
        <v>14</v>
      </c>
      <c r="H176">
        <v>4</v>
      </c>
      <c r="I176">
        <v>2</v>
      </c>
      <c r="J176">
        <v>-173</v>
      </c>
    </row>
    <row r="177" spans="1:10" x14ac:dyDescent="0.35">
      <c r="A177" s="11">
        <v>44306</v>
      </c>
      <c r="B177" s="10" t="s">
        <v>43</v>
      </c>
      <c r="C177">
        <v>40.1</v>
      </c>
      <c r="E177" s="10" t="s">
        <v>32</v>
      </c>
      <c r="F177" s="10" t="s">
        <v>13</v>
      </c>
      <c r="G177" s="10" t="s">
        <v>14</v>
      </c>
      <c r="H177">
        <v>4</v>
      </c>
      <c r="I177">
        <v>3</v>
      </c>
      <c r="J177">
        <v>-40.1</v>
      </c>
    </row>
    <row r="178" spans="1:10" x14ac:dyDescent="0.35">
      <c r="A178" s="11">
        <v>44307</v>
      </c>
      <c r="B178" s="10" t="s">
        <v>44</v>
      </c>
      <c r="C178">
        <v>15.1</v>
      </c>
      <c r="E178" s="10" t="s">
        <v>32</v>
      </c>
      <c r="F178" s="10" t="s">
        <v>13</v>
      </c>
      <c r="G178" s="10" t="s">
        <v>14</v>
      </c>
      <c r="H178">
        <v>4</v>
      </c>
      <c r="I178">
        <v>4</v>
      </c>
      <c r="J178">
        <v>-15.1</v>
      </c>
    </row>
    <row r="179" spans="1:10" x14ac:dyDescent="0.35">
      <c r="A179" s="11">
        <v>44308</v>
      </c>
      <c r="B179" s="10" t="s">
        <v>45</v>
      </c>
      <c r="C179">
        <v>55</v>
      </c>
      <c r="E179" s="10" t="s">
        <v>46</v>
      </c>
      <c r="F179" s="10" t="s">
        <v>47</v>
      </c>
      <c r="G179" s="10" t="s">
        <v>14</v>
      </c>
      <c r="H179">
        <v>4</v>
      </c>
      <c r="I179">
        <v>5</v>
      </c>
      <c r="J179">
        <v>-55</v>
      </c>
    </row>
    <row r="180" spans="1:10" x14ac:dyDescent="0.35">
      <c r="A180" s="11">
        <v>44308</v>
      </c>
      <c r="B180" s="10" t="s">
        <v>25</v>
      </c>
      <c r="C180">
        <v>66</v>
      </c>
      <c r="E180" s="10" t="s">
        <v>48</v>
      </c>
      <c r="F180" s="10" t="s">
        <v>20</v>
      </c>
      <c r="G180" s="10" t="s">
        <v>14</v>
      </c>
      <c r="H180">
        <v>4</v>
      </c>
      <c r="I180">
        <v>5</v>
      </c>
      <c r="J180">
        <v>-66</v>
      </c>
    </row>
    <row r="181" spans="1:10" x14ac:dyDescent="0.35">
      <c r="A181" s="11">
        <v>44308</v>
      </c>
      <c r="B181" s="10" t="s">
        <v>11</v>
      </c>
      <c r="C181">
        <v>5</v>
      </c>
      <c r="E181" s="10" t="s">
        <v>12</v>
      </c>
      <c r="F181" s="10" t="s">
        <v>13</v>
      </c>
      <c r="G181" s="10" t="s">
        <v>14</v>
      </c>
      <c r="H181">
        <v>4</v>
      </c>
      <c r="I181">
        <v>5</v>
      </c>
      <c r="J181">
        <v>-5</v>
      </c>
    </row>
    <row r="182" spans="1:10" x14ac:dyDescent="0.35">
      <c r="A182" s="11">
        <v>44309</v>
      </c>
      <c r="B182" s="10" t="s">
        <v>11</v>
      </c>
      <c r="C182">
        <v>5</v>
      </c>
      <c r="E182" s="10" t="s">
        <v>12</v>
      </c>
      <c r="F182" s="10" t="s">
        <v>13</v>
      </c>
      <c r="G182" s="10" t="s">
        <v>14</v>
      </c>
      <c r="H182">
        <v>4</v>
      </c>
      <c r="I182">
        <v>6</v>
      </c>
      <c r="J182">
        <v>-5</v>
      </c>
    </row>
    <row r="183" spans="1:10" x14ac:dyDescent="0.35">
      <c r="A183" s="11">
        <v>44310</v>
      </c>
      <c r="B183" s="10" t="s">
        <v>11</v>
      </c>
      <c r="C183">
        <v>5</v>
      </c>
      <c r="E183" s="10" t="s">
        <v>12</v>
      </c>
      <c r="F183" s="10" t="s">
        <v>13</v>
      </c>
      <c r="G183" s="10" t="s">
        <v>14</v>
      </c>
      <c r="H183">
        <v>4</v>
      </c>
      <c r="I183">
        <v>7</v>
      </c>
      <c r="J183">
        <v>-5</v>
      </c>
    </row>
    <row r="184" spans="1:10" x14ac:dyDescent="0.35">
      <c r="A184" s="11">
        <v>44311</v>
      </c>
      <c r="B184" s="10" t="s">
        <v>11</v>
      </c>
      <c r="C184">
        <v>5</v>
      </c>
      <c r="E184" s="10" t="s">
        <v>12</v>
      </c>
      <c r="F184" s="10" t="s">
        <v>13</v>
      </c>
      <c r="G184" s="10" t="s">
        <v>14</v>
      </c>
      <c r="H184">
        <v>4</v>
      </c>
      <c r="I184">
        <v>1</v>
      </c>
      <c r="J184">
        <v>-5</v>
      </c>
    </row>
    <row r="185" spans="1:10" x14ac:dyDescent="0.35">
      <c r="A185" s="11">
        <v>44312</v>
      </c>
      <c r="B185" s="10" t="s">
        <v>11</v>
      </c>
      <c r="C185">
        <v>5</v>
      </c>
      <c r="E185" s="10" t="s">
        <v>12</v>
      </c>
      <c r="F185" s="10" t="s">
        <v>13</v>
      </c>
      <c r="G185" s="10" t="s">
        <v>14</v>
      </c>
      <c r="H185">
        <v>4</v>
      </c>
      <c r="I185">
        <v>2</v>
      </c>
      <c r="J185">
        <v>-5</v>
      </c>
    </row>
    <row r="186" spans="1:10" x14ac:dyDescent="0.35">
      <c r="A186" s="11">
        <v>44312</v>
      </c>
      <c r="B186" s="10" t="s">
        <v>21</v>
      </c>
      <c r="C186">
        <v>164.9</v>
      </c>
      <c r="E186" s="10" t="s">
        <v>22</v>
      </c>
      <c r="F186" s="10" t="s">
        <v>17</v>
      </c>
      <c r="G186" s="10" t="s">
        <v>14</v>
      </c>
      <c r="H186">
        <v>4</v>
      </c>
      <c r="I186">
        <v>2</v>
      </c>
      <c r="J186">
        <v>-164.9</v>
      </c>
    </row>
    <row r="187" spans="1:10" x14ac:dyDescent="0.35">
      <c r="A187" s="11">
        <v>44313</v>
      </c>
      <c r="B187" s="10" t="s">
        <v>49</v>
      </c>
      <c r="C187">
        <v>127.9</v>
      </c>
      <c r="E187" s="10" t="s">
        <v>30</v>
      </c>
      <c r="F187" s="10" t="s">
        <v>28</v>
      </c>
      <c r="G187" s="10" t="s">
        <v>14</v>
      </c>
      <c r="H187">
        <v>4</v>
      </c>
      <c r="I187">
        <v>3</v>
      </c>
      <c r="J187">
        <v>-127.9</v>
      </c>
    </row>
    <row r="188" spans="1:10" x14ac:dyDescent="0.35">
      <c r="A188" s="11">
        <v>44313</v>
      </c>
      <c r="B188" s="10" t="s">
        <v>57</v>
      </c>
      <c r="C188">
        <v>300</v>
      </c>
      <c r="E188" s="10" t="s">
        <v>27</v>
      </c>
      <c r="F188" s="10" t="s">
        <v>28</v>
      </c>
      <c r="G188" s="10" t="s">
        <v>14</v>
      </c>
      <c r="H188">
        <v>4</v>
      </c>
      <c r="I188">
        <v>3</v>
      </c>
      <c r="J188">
        <v>-300</v>
      </c>
    </row>
    <row r="189" spans="1:10" x14ac:dyDescent="0.35">
      <c r="A189" s="11">
        <v>44314</v>
      </c>
      <c r="B189" s="10" t="s">
        <v>29</v>
      </c>
      <c r="C189">
        <v>148.1</v>
      </c>
      <c r="E189" s="10" t="s">
        <v>30</v>
      </c>
      <c r="F189" s="10" t="s">
        <v>28</v>
      </c>
      <c r="G189" s="10" t="s">
        <v>14</v>
      </c>
      <c r="H189">
        <v>4</v>
      </c>
      <c r="I189">
        <v>4</v>
      </c>
      <c r="J189">
        <v>-148.1</v>
      </c>
    </row>
    <row r="190" spans="1:10" x14ac:dyDescent="0.35">
      <c r="A190" s="11">
        <v>44314</v>
      </c>
      <c r="B190" s="10" t="s">
        <v>33</v>
      </c>
      <c r="C190">
        <v>26.1</v>
      </c>
      <c r="E190" s="10" t="s">
        <v>34</v>
      </c>
      <c r="F190" s="10" t="s">
        <v>20</v>
      </c>
      <c r="G190" s="10" t="s">
        <v>14</v>
      </c>
      <c r="H190">
        <v>4</v>
      </c>
      <c r="I190">
        <v>4</v>
      </c>
      <c r="J190">
        <v>-26.1</v>
      </c>
    </row>
    <row r="191" spans="1:10" x14ac:dyDescent="0.35">
      <c r="A191" s="11">
        <v>44315</v>
      </c>
      <c r="B191" s="10" t="s">
        <v>56</v>
      </c>
      <c r="C191">
        <v>15</v>
      </c>
      <c r="E191" s="10" t="s">
        <v>32</v>
      </c>
      <c r="F191" s="10" t="s">
        <v>13</v>
      </c>
      <c r="G191" s="10" t="s">
        <v>14</v>
      </c>
      <c r="H191">
        <v>4</v>
      </c>
      <c r="I191">
        <v>5</v>
      </c>
      <c r="J191">
        <v>-15</v>
      </c>
    </row>
    <row r="192" spans="1:10" x14ac:dyDescent="0.35">
      <c r="A192" s="11">
        <v>44315</v>
      </c>
      <c r="B192" s="10" t="s">
        <v>11</v>
      </c>
      <c r="C192">
        <v>5</v>
      </c>
      <c r="E192" s="10" t="s">
        <v>12</v>
      </c>
      <c r="F192" s="10" t="s">
        <v>13</v>
      </c>
      <c r="G192" s="10" t="s">
        <v>14</v>
      </c>
      <c r="H192">
        <v>4</v>
      </c>
      <c r="I192">
        <v>5</v>
      </c>
      <c r="J192">
        <v>-5</v>
      </c>
    </row>
    <row r="193" spans="1:10" x14ac:dyDescent="0.35">
      <c r="A193" s="11">
        <v>44316</v>
      </c>
      <c r="B193" s="10" t="s">
        <v>11</v>
      </c>
      <c r="C193">
        <v>5</v>
      </c>
      <c r="E193" s="10" t="s">
        <v>12</v>
      </c>
      <c r="F193" s="10" t="s">
        <v>13</v>
      </c>
      <c r="G193" s="10" t="s">
        <v>14</v>
      </c>
      <c r="H193">
        <v>4</v>
      </c>
      <c r="I193">
        <v>6</v>
      </c>
      <c r="J193">
        <v>-5</v>
      </c>
    </row>
    <row r="194" spans="1:10" x14ac:dyDescent="0.35">
      <c r="A194" s="11">
        <v>44318</v>
      </c>
      <c r="B194" s="10" t="s">
        <v>11</v>
      </c>
      <c r="C194">
        <v>5</v>
      </c>
      <c r="E194" s="10" t="s">
        <v>12</v>
      </c>
      <c r="F194" s="10" t="s">
        <v>13</v>
      </c>
      <c r="G194" s="10" t="s">
        <v>14</v>
      </c>
      <c r="H194">
        <v>5</v>
      </c>
      <c r="I194">
        <v>1</v>
      </c>
      <c r="J194">
        <v>-5</v>
      </c>
    </row>
    <row r="195" spans="1:10" x14ac:dyDescent="0.35">
      <c r="A195" s="11">
        <v>44319</v>
      </c>
      <c r="B195" s="10" t="s">
        <v>7</v>
      </c>
      <c r="D195">
        <v>5000</v>
      </c>
      <c r="E195" s="10" t="s">
        <v>8</v>
      </c>
      <c r="F195" s="10" t="s">
        <v>9</v>
      </c>
      <c r="G195" s="10" t="s">
        <v>10</v>
      </c>
      <c r="H195">
        <v>5</v>
      </c>
      <c r="I195">
        <v>2</v>
      </c>
      <c r="J195">
        <v>5000</v>
      </c>
    </row>
    <row r="196" spans="1:10" x14ac:dyDescent="0.35">
      <c r="A196" s="11">
        <v>44319</v>
      </c>
      <c r="B196" s="10" t="s">
        <v>15</v>
      </c>
      <c r="C196">
        <v>900</v>
      </c>
      <c r="E196" s="10" t="s">
        <v>16</v>
      </c>
      <c r="F196" s="10" t="s">
        <v>17</v>
      </c>
      <c r="G196" s="10" t="s">
        <v>14</v>
      </c>
      <c r="H196">
        <v>5</v>
      </c>
      <c r="I196">
        <v>2</v>
      </c>
      <c r="J196">
        <v>-900</v>
      </c>
    </row>
    <row r="197" spans="1:10" x14ac:dyDescent="0.35">
      <c r="A197" s="11">
        <v>44319</v>
      </c>
      <c r="B197" s="10" t="s">
        <v>18</v>
      </c>
      <c r="C197">
        <v>150</v>
      </c>
      <c r="E197" s="10" t="s">
        <v>19</v>
      </c>
      <c r="F197" s="10" t="s">
        <v>20</v>
      </c>
      <c r="G197" s="10" t="s">
        <v>14</v>
      </c>
      <c r="H197">
        <v>5</v>
      </c>
      <c r="I197">
        <v>2</v>
      </c>
      <c r="J197">
        <v>-150</v>
      </c>
    </row>
    <row r="198" spans="1:10" x14ac:dyDescent="0.35">
      <c r="A198" s="11">
        <v>44319</v>
      </c>
      <c r="B198" s="10" t="s">
        <v>11</v>
      </c>
      <c r="C198">
        <v>5</v>
      </c>
      <c r="E198" s="10" t="s">
        <v>12</v>
      </c>
      <c r="F198" s="10" t="s">
        <v>13</v>
      </c>
      <c r="G198" s="10" t="s">
        <v>14</v>
      </c>
      <c r="H198">
        <v>5</v>
      </c>
      <c r="I198">
        <v>2</v>
      </c>
      <c r="J198">
        <v>-5</v>
      </c>
    </row>
    <row r="199" spans="1:10" x14ac:dyDescent="0.35">
      <c r="A199" s="11">
        <v>44320</v>
      </c>
      <c r="B199" s="10" t="s">
        <v>11</v>
      </c>
      <c r="C199">
        <v>5</v>
      </c>
      <c r="E199" s="10" t="s">
        <v>12</v>
      </c>
      <c r="F199" s="10" t="s">
        <v>13</v>
      </c>
      <c r="G199" s="10" t="s">
        <v>14</v>
      </c>
      <c r="H199">
        <v>5</v>
      </c>
      <c r="I199">
        <v>3</v>
      </c>
      <c r="J199">
        <v>-5</v>
      </c>
    </row>
    <row r="200" spans="1:10" x14ac:dyDescent="0.35">
      <c r="A200" s="11">
        <v>44321</v>
      </c>
      <c r="B200" s="10" t="s">
        <v>11</v>
      </c>
      <c r="C200">
        <v>5</v>
      </c>
      <c r="E200" s="10" t="s">
        <v>12</v>
      </c>
      <c r="F200" s="10" t="s">
        <v>13</v>
      </c>
      <c r="G200" s="10" t="s">
        <v>14</v>
      </c>
      <c r="H200">
        <v>5</v>
      </c>
      <c r="I200">
        <v>4</v>
      </c>
      <c r="J200">
        <v>-5</v>
      </c>
    </row>
    <row r="201" spans="1:10" x14ac:dyDescent="0.35">
      <c r="A201" s="11">
        <v>44322</v>
      </c>
      <c r="B201" s="10" t="s">
        <v>11</v>
      </c>
      <c r="C201">
        <v>5</v>
      </c>
      <c r="E201" s="10" t="s">
        <v>12</v>
      </c>
      <c r="F201" s="10" t="s">
        <v>13</v>
      </c>
      <c r="G201" s="10" t="s">
        <v>14</v>
      </c>
      <c r="H201">
        <v>5</v>
      </c>
      <c r="I201">
        <v>5</v>
      </c>
      <c r="J201">
        <v>-5</v>
      </c>
    </row>
    <row r="202" spans="1:10" x14ac:dyDescent="0.35">
      <c r="A202" s="11">
        <v>44322</v>
      </c>
      <c r="B202" s="10" t="s">
        <v>21</v>
      </c>
      <c r="C202">
        <v>170</v>
      </c>
      <c r="E202" s="10" t="s">
        <v>22</v>
      </c>
      <c r="F202" s="10" t="s">
        <v>17</v>
      </c>
      <c r="G202" s="10" t="s">
        <v>14</v>
      </c>
      <c r="H202">
        <v>5</v>
      </c>
      <c r="I202">
        <v>5</v>
      </c>
      <c r="J202">
        <v>-170</v>
      </c>
    </row>
    <row r="203" spans="1:10" x14ac:dyDescent="0.35">
      <c r="A203" s="11">
        <v>44325</v>
      </c>
      <c r="B203" s="10" t="s">
        <v>23</v>
      </c>
      <c r="C203">
        <v>54.1</v>
      </c>
      <c r="E203" s="10" t="s">
        <v>24</v>
      </c>
      <c r="F203" s="10" t="s">
        <v>17</v>
      </c>
      <c r="G203" s="10" t="s">
        <v>14</v>
      </c>
      <c r="H203">
        <v>5</v>
      </c>
      <c r="I203">
        <v>1</v>
      </c>
      <c r="J203">
        <v>-54.1</v>
      </c>
    </row>
    <row r="204" spans="1:10" x14ac:dyDescent="0.35">
      <c r="A204" s="11">
        <v>44325</v>
      </c>
      <c r="B204" s="10" t="s">
        <v>11</v>
      </c>
      <c r="C204">
        <v>5</v>
      </c>
      <c r="E204" s="10" t="s">
        <v>12</v>
      </c>
      <c r="F204" s="10" t="s">
        <v>13</v>
      </c>
      <c r="G204" s="10" t="s">
        <v>14</v>
      </c>
      <c r="H204">
        <v>5</v>
      </c>
      <c r="I204">
        <v>1</v>
      </c>
      <c r="J204">
        <v>-5</v>
      </c>
    </row>
    <row r="205" spans="1:10" x14ac:dyDescent="0.35">
      <c r="A205" s="11">
        <v>44326</v>
      </c>
      <c r="B205" s="10" t="s">
        <v>11</v>
      </c>
      <c r="C205">
        <v>5</v>
      </c>
      <c r="E205" s="10" t="s">
        <v>12</v>
      </c>
      <c r="F205" s="10" t="s">
        <v>13</v>
      </c>
      <c r="G205" s="10" t="s">
        <v>14</v>
      </c>
      <c r="H205">
        <v>5</v>
      </c>
      <c r="I205">
        <v>2</v>
      </c>
      <c r="J205">
        <v>-5</v>
      </c>
    </row>
    <row r="206" spans="1:10" x14ac:dyDescent="0.35">
      <c r="A206" s="11">
        <v>44327</v>
      </c>
      <c r="B206" s="10" t="s">
        <v>25</v>
      </c>
      <c r="C206">
        <v>81</v>
      </c>
      <c r="E206" s="10" t="s">
        <v>48</v>
      </c>
      <c r="F206" s="10" t="s">
        <v>20</v>
      </c>
      <c r="G206" s="10" t="s">
        <v>14</v>
      </c>
      <c r="H206">
        <v>5</v>
      </c>
      <c r="I206">
        <v>3</v>
      </c>
      <c r="J206">
        <v>-81</v>
      </c>
    </row>
    <row r="207" spans="1:10" x14ac:dyDescent="0.35">
      <c r="A207" s="11">
        <v>44327</v>
      </c>
      <c r="B207" s="10" t="s">
        <v>11</v>
      </c>
      <c r="C207">
        <v>5</v>
      </c>
      <c r="E207" s="10" t="s">
        <v>12</v>
      </c>
      <c r="F207" s="10" t="s">
        <v>13</v>
      </c>
      <c r="G207" s="10" t="s">
        <v>14</v>
      </c>
      <c r="H207">
        <v>5</v>
      </c>
      <c r="I207">
        <v>3</v>
      </c>
      <c r="J207">
        <v>-5</v>
      </c>
    </row>
    <row r="208" spans="1:10" x14ac:dyDescent="0.35">
      <c r="A208" s="11">
        <v>44328</v>
      </c>
      <c r="B208" s="10" t="s">
        <v>11</v>
      </c>
      <c r="C208">
        <v>5</v>
      </c>
      <c r="E208" s="10" t="s">
        <v>12</v>
      </c>
      <c r="F208" s="10" t="s">
        <v>13</v>
      </c>
      <c r="G208" s="10" t="s">
        <v>14</v>
      </c>
      <c r="H208">
        <v>5</v>
      </c>
      <c r="I208">
        <v>4</v>
      </c>
      <c r="J208">
        <v>-5</v>
      </c>
    </row>
    <row r="209" spans="1:10" x14ac:dyDescent="0.35">
      <c r="A209" s="11">
        <v>44329</v>
      </c>
      <c r="B209" s="10" t="s">
        <v>21</v>
      </c>
      <c r="C209">
        <v>139.1</v>
      </c>
      <c r="E209" s="10" t="s">
        <v>22</v>
      </c>
      <c r="F209" s="10" t="s">
        <v>17</v>
      </c>
      <c r="G209" s="10" t="s">
        <v>14</v>
      </c>
      <c r="H209">
        <v>5</v>
      </c>
      <c r="I209">
        <v>5</v>
      </c>
      <c r="J209">
        <v>-139.1</v>
      </c>
    </row>
    <row r="210" spans="1:10" x14ac:dyDescent="0.35">
      <c r="A210" s="11">
        <v>44329</v>
      </c>
      <c r="B210" s="10" t="s">
        <v>11</v>
      </c>
      <c r="C210">
        <v>5</v>
      </c>
      <c r="E210" s="10" t="s">
        <v>12</v>
      </c>
      <c r="F210" s="10" t="s">
        <v>13</v>
      </c>
      <c r="G210" s="10" t="s">
        <v>14</v>
      </c>
      <c r="H210">
        <v>5</v>
      </c>
      <c r="I210">
        <v>5</v>
      </c>
      <c r="J210">
        <v>-5</v>
      </c>
    </row>
    <row r="211" spans="1:10" x14ac:dyDescent="0.35">
      <c r="A211" s="11">
        <v>44330</v>
      </c>
      <c r="B211" s="10" t="s">
        <v>11</v>
      </c>
      <c r="C211">
        <v>5</v>
      </c>
      <c r="E211" s="10" t="s">
        <v>12</v>
      </c>
      <c r="F211" s="10" t="s">
        <v>13</v>
      </c>
      <c r="G211" s="10" t="s">
        <v>14</v>
      </c>
      <c r="H211">
        <v>5</v>
      </c>
      <c r="I211">
        <v>6</v>
      </c>
      <c r="J211">
        <v>-5</v>
      </c>
    </row>
    <row r="212" spans="1:10" x14ac:dyDescent="0.35">
      <c r="A212" s="11">
        <v>44330</v>
      </c>
      <c r="B212" s="10" t="s">
        <v>26</v>
      </c>
      <c r="C212">
        <v>43.9</v>
      </c>
      <c r="E212" s="10" t="s">
        <v>27</v>
      </c>
      <c r="F212" s="10" t="s">
        <v>28</v>
      </c>
      <c r="G212" s="10" t="s">
        <v>14</v>
      </c>
      <c r="H212">
        <v>5</v>
      </c>
      <c r="I212">
        <v>6</v>
      </c>
      <c r="J212">
        <v>-43.9</v>
      </c>
    </row>
    <row r="213" spans="1:10" x14ac:dyDescent="0.35">
      <c r="A213" s="11">
        <v>44330</v>
      </c>
      <c r="B213" s="10" t="s">
        <v>29</v>
      </c>
      <c r="C213">
        <v>101.80000000000001</v>
      </c>
      <c r="E213" s="10" t="s">
        <v>30</v>
      </c>
      <c r="F213" s="10" t="s">
        <v>28</v>
      </c>
      <c r="G213" s="10" t="s">
        <v>14</v>
      </c>
      <c r="H213">
        <v>5</v>
      </c>
      <c r="I213">
        <v>6</v>
      </c>
      <c r="J213">
        <v>-101.80000000000001</v>
      </c>
    </row>
    <row r="214" spans="1:10" x14ac:dyDescent="0.35">
      <c r="A214" s="11">
        <v>44330</v>
      </c>
      <c r="B214" s="10" t="s">
        <v>31</v>
      </c>
      <c r="C214">
        <v>55.9</v>
      </c>
      <c r="E214" s="10" t="s">
        <v>32</v>
      </c>
      <c r="F214" s="10" t="s">
        <v>13</v>
      </c>
      <c r="G214" s="10" t="s">
        <v>14</v>
      </c>
      <c r="H214">
        <v>5</v>
      </c>
      <c r="I214">
        <v>6</v>
      </c>
      <c r="J214">
        <v>-55.9</v>
      </c>
    </row>
    <row r="215" spans="1:10" x14ac:dyDescent="0.35">
      <c r="A215" s="11">
        <v>44331</v>
      </c>
      <c r="B215" s="10" t="s">
        <v>33</v>
      </c>
      <c r="C215">
        <v>32</v>
      </c>
      <c r="E215" s="10" t="s">
        <v>34</v>
      </c>
      <c r="F215" s="10" t="s">
        <v>20</v>
      </c>
      <c r="G215" s="10" t="s">
        <v>14</v>
      </c>
      <c r="H215">
        <v>5</v>
      </c>
      <c r="I215">
        <v>7</v>
      </c>
      <c r="J215">
        <v>-32</v>
      </c>
    </row>
    <row r="216" spans="1:10" x14ac:dyDescent="0.35">
      <c r="A216" s="11">
        <v>44332</v>
      </c>
      <c r="B216" s="10" t="s">
        <v>35</v>
      </c>
      <c r="D216">
        <v>1000</v>
      </c>
      <c r="E216" s="10" t="s">
        <v>36</v>
      </c>
      <c r="F216" s="10" t="s">
        <v>37</v>
      </c>
      <c r="G216" s="10" t="s">
        <v>10</v>
      </c>
      <c r="H216">
        <v>5</v>
      </c>
      <c r="I216">
        <v>1</v>
      </c>
      <c r="J216">
        <v>1000</v>
      </c>
    </row>
    <row r="217" spans="1:10" x14ac:dyDescent="0.35">
      <c r="A217" s="11">
        <v>44332</v>
      </c>
      <c r="B217" s="10" t="s">
        <v>11</v>
      </c>
      <c r="C217">
        <v>5</v>
      </c>
      <c r="E217" s="10" t="s">
        <v>12</v>
      </c>
      <c r="F217" s="10" t="s">
        <v>13</v>
      </c>
      <c r="G217" s="10" t="s">
        <v>14</v>
      </c>
      <c r="H217">
        <v>5</v>
      </c>
      <c r="I217">
        <v>1</v>
      </c>
      <c r="J217">
        <v>-5</v>
      </c>
    </row>
    <row r="218" spans="1:10" x14ac:dyDescent="0.35">
      <c r="A218" s="11">
        <v>44333</v>
      </c>
      <c r="B218" s="10" t="s">
        <v>11</v>
      </c>
      <c r="C218">
        <v>5</v>
      </c>
      <c r="E218" s="10" t="s">
        <v>12</v>
      </c>
      <c r="F218" s="10" t="s">
        <v>13</v>
      </c>
      <c r="G218" s="10" t="s">
        <v>14</v>
      </c>
      <c r="H218">
        <v>5</v>
      </c>
      <c r="I218">
        <v>2</v>
      </c>
      <c r="J218">
        <v>-5</v>
      </c>
    </row>
    <row r="219" spans="1:10" x14ac:dyDescent="0.35">
      <c r="A219" s="11">
        <v>44333</v>
      </c>
      <c r="B219" s="10" t="s">
        <v>52</v>
      </c>
      <c r="C219">
        <v>75</v>
      </c>
      <c r="E219" s="10" t="s">
        <v>53</v>
      </c>
      <c r="F219" s="10" t="s">
        <v>54</v>
      </c>
      <c r="G219" s="10" t="s">
        <v>14</v>
      </c>
      <c r="H219">
        <v>5</v>
      </c>
      <c r="I219">
        <v>2</v>
      </c>
      <c r="J219">
        <v>-75</v>
      </c>
    </row>
    <row r="220" spans="1:10" x14ac:dyDescent="0.35">
      <c r="A220" s="11">
        <v>44333</v>
      </c>
      <c r="B220" s="10" t="s">
        <v>39</v>
      </c>
      <c r="C220">
        <v>40</v>
      </c>
      <c r="E220" s="10" t="s">
        <v>39</v>
      </c>
      <c r="F220" s="10" t="s">
        <v>17</v>
      </c>
      <c r="G220" s="10" t="s">
        <v>14</v>
      </c>
      <c r="H220">
        <v>5</v>
      </c>
      <c r="I220">
        <v>2</v>
      </c>
      <c r="J220">
        <v>-40</v>
      </c>
    </row>
    <row r="221" spans="1:10" x14ac:dyDescent="0.35">
      <c r="A221" s="11">
        <v>44334</v>
      </c>
      <c r="B221" s="10" t="s">
        <v>40</v>
      </c>
      <c r="C221">
        <v>49</v>
      </c>
      <c r="E221" s="10" t="s">
        <v>41</v>
      </c>
      <c r="F221" s="10" t="s">
        <v>28</v>
      </c>
      <c r="G221" s="10" t="s">
        <v>14</v>
      </c>
      <c r="H221">
        <v>5</v>
      </c>
      <c r="I221">
        <v>3</v>
      </c>
      <c r="J221">
        <v>-49</v>
      </c>
    </row>
    <row r="222" spans="1:10" x14ac:dyDescent="0.35">
      <c r="A222" s="11">
        <v>44334</v>
      </c>
      <c r="B222" s="10" t="s">
        <v>42</v>
      </c>
      <c r="C222">
        <v>35</v>
      </c>
      <c r="E222" s="10" t="s">
        <v>27</v>
      </c>
      <c r="F222" s="10" t="s">
        <v>28</v>
      </c>
      <c r="G222" s="10" t="s">
        <v>14</v>
      </c>
      <c r="H222">
        <v>5</v>
      </c>
      <c r="I222">
        <v>3</v>
      </c>
      <c r="J222">
        <v>-35</v>
      </c>
    </row>
    <row r="223" spans="1:10" x14ac:dyDescent="0.35">
      <c r="A223" s="11">
        <v>44334</v>
      </c>
      <c r="B223" s="10" t="s">
        <v>11</v>
      </c>
      <c r="C223">
        <v>5</v>
      </c>
      <c r="E223" s="10" t="s">
        <v>12</v>
      </c>
      <c r="F223" s="10" t="s">
        <v>13</v>
      </c>
      <c r="G223" s="10" t="s">
        <v>14</v>
      </c>
      <c r="H223">
        <v>5</v>
      </c>
      <c r="I223">
        <v>3</v>
      </c>
      <c r="J223">
        <v>-5</v>
      </c>
    </row>
    <row r="224" spans="1:10" x14ac:dyDescent="0.35">
      <c r="A224" s="11">
        <v>44335</v>
      </c>
      <c r="B224" s="10" t="s">
        <v>11</v>
      </c>
      <c r="C224">
        <v>5</v>
      </c>
      <c r="E224" s="10" t="s">
        <v>12</v>
      </c>
      <c r="F224" s="10" t="s">
        <v>13</v>
      </c>
      <c r="G224" s="10" t="s">
        <v>14</v>
      </c>
      <c r="H224">
        <v>5</v>
      </c>
      <c r="I224">
        <v>4</v>
      </c>
      <c r="J224">
        <v>-5</v>
      </c>
    </row>
    <row r="225" spans="1:10" x14ac:dyDescent="0.35">
      <c r="A225" s="11">
        <v>44336</v>
      </c>
      <c r="B225" s="10" t="s">
        <v>11</v>
      </c>
      <c r="C225">
        <v>5</v>
      </c>
      <c r="E225" s="10" t="s">
        <v>12</v>
      </c>
      <c r="F225" s="10" t="s">
        <v>13</v>
      </c>
      <c r="G225" s="10" t="s">
        <v>14</v>
      </c>
      <c r="H225">
        <v>5</v>
      </c>
      <c r="I225">
        <v>5</v>
      </c>
      <c r="J225">
        <v>-5</v>
      </c>
    </row>
    <row r="226" spans="1:10" x14ac:dyDescent="0.35">
      <c r="A226" s="11">
        <v>44336</v>
      </c>
      <c r="B226" s="10" t="s">
        <v>21</v>
      </c>
      <c r="C226">
        <v>174</v>
      </c>
      <c r="E226" s="10" t="s">
        <v>22</v>
      </c>
      <c r="F226" s="10" t="s">
        <v>17</v>
      </c>
      <c r="G226" s="10" t="s">
        <v>14</v>
      </c>
      <c r="H226">
        <v>5</v>
      </c>
      <c r="I226">
        <v>5</v>
      </c>
      <c r="J226">
        <v>-174</v>
      </c>
    </row>
    <row r="227" spans="1:10" x14ac:dyDescent="0.35">
      <c r="A227" s="11">
        <v>44337</v>
      </c>
      <c r="B227" s="10" t="s">
        <v>43</v>
      </c>
      <c r="C227">
        <v>41.1</v>
      </c>
      <c r="E227" s="10" t="s">
        <v>32</v>
      </c>
      <c r="F227" s="10" t="s">
        <v>13</v>
      </c>
      <c r="G227" s="10" t="s">
        <v>14</v>
      </c>
      <c r="H227">
        <v>5</v>
      </c>
      <c r="I227">
        <v>6</v>
      </c>
      <c r="J227">
        <v>-41.1</v>
      </c>
    </row>
    <row r="228" spans="1:10" x14ac:dyDescent="0.35">
      <c r="A228" s="11">
        <v>44338</v>
      </c>
      <c r="B228" s="10" t="s">
        <v>44</v>
      </c>
      <c r="C228">
        <v>16.2</v>
      </c>
      <c r="E228" s="10" t="s">
        <v>32</v>
      </c>
      <c r="F228" s="10" t="s">
        <v>13</v>
      </c>
      <c r="G228" s="10" t="s">
        <v>14</v>
      </c>
      <c r="H228">
        <v>5</v>
      </c>
      <c r="I228">
        <v>7</v>
      </c>
      <c r="J228">
        <v>-16.2</v>
      </c>
    </row>
    <row r="229" spans="1:10" x14ac:dyDescent="0.35">
      <c r="A229" s="11">
        <v>44339</v>
      </c>
      <c r="B229" s="10" t="s">
        <v>45</v>
      </c>
      <c r="C229">
        <v>55</v>
      </c>
      <c r="E229" s="10" t="s">
        <v>46</v>
      </c>
      <c r="F229" s="10" t="s">
        <v>47</v>
      </c>
      <c r="G229" s="10" t="s">
        <v>14</v>
      </c>
      <c r="H229">
        <v>5</v>
      </c>
      <c r="I229">
        <v>1</v>
      </c>
      <c r="J229">
        <v>-55</v>
      </c>
    </row>
    <row r="230" spans="1:10" x14ac:dyDescent="0.35">
      <c r="A230" s="11">
        <v>44339</v>
      </c>
      <c r="B230" s="10" t="s">
        <v>25</v>
      </c>
      <c r="C230">
        <v>67</v>
      </c>
      <c r="E230" s="10" t="s">
        <v>48</v>
      </c>
      <c r="F230" s="10" t="s">
        <v>20</v>
      </c>
      <c r="G230" s="10" t="s">
        <v>14</v>
      </c>
      <c r="H230">
        <v>5</v>
      </c>
      <c r="I230">
        <v>1</v>
      </c>
      <c r="J230">
        <v>-67</v>
      </c>
    </row>
    <row r="231" spans="1:10" x14ac:dyDescent="0.35">
      <c r="A231" s="11">
        <v>44339</v>
      </c>
      <c r="B231" s="10" t="s">
        <v>11</v>
      </c>
      <c r="C231">
        <v>5</v>
      </c>
      <c r="E231" s="10" t="s">
        <v>12</v>
      </c>
      <c r="F231" s="10" t="s">
        <v>13</v>
      </c>
      <c r="G231" s="10" t="s">
        <v>14</v>
      </c>
      <c r="H231">
        <v>5</v>
      </c>
      <c r="I231">
        <v>1</v>
      </c>
      <c r="J231">
        <v>-5</v>
      </c>
    </row>
    <row r="232" spans="1:10" x14ac:dyDescent="0.35">
      <c r="A232" s="11">
        <v>44340</v>
      </c>
      <c r="B232" s="10" t="s">
        <v>11</v>
      </c>
      <c r="C232">
        <v>5</v>
      </c>
      <c r="E232" s="10" t="s">
        <v>12</v>
      </c>
      <c r="F232" s="10" t="s">
        <v>13</v>
      </c>
      <c r="G232" s="10" t="s">
        <v>14</v>
      </c>
      <c r="H232">
        <v>5</v>
      </c>
      <c r="I232">
        <v>2</v>
      </c>
      <c r="J232">
        <v>-5</v>
      </c>
    </row>
    <row r="233" spans="1:10" x14ac:dyDescent="0.35">
      <c r="A233" s="11">
        <v>44341</v>
      </c>
      <c r="B233" s="10" t="s">
        <v>11</v>
      </c>
      <c r="C233">
        <v>5</v>
      </c>
      <c r="E233" s="10" t="s">
        <v>12</v>
      </c>
      <c r="F233" s="10" t="s">
        <v>13</v>
      </c>
      <c r="G233" s="10" t="s">
        <v>14</v>
      </c>
      <c r="H233">
        <v>5</v>
      </c>
      <c r="I233">
        <v>3</v>
      </c>
      <c r="J233">
        <v>-5</v>
      </c>
    </row>
    <row r="234" spans="1:10" x14ac:dyDescent="0.35">
      <c r="A234" s="11">
        <v>44342</v>
      </c>
      <c r="B234" s="10" t="s">
        <v>11</v>
      </c>
      <c r="C234">
        <v>5</v>
      </c>
      <c r="E234" s="10" t="s">
        <v>12</v>
      </c>
      <c r="F234" s="10" t="s">
        <v>13</v>
      </c>
      <c r="G234" s="10" t="s">
        <v>14</v>
      </c>
      <c r="H234">
        <v>5</v>
      </c>
      <c r="I234">
        <v>4</v>
      </c>
      <c r="J234">
        <v>-5</v>
      </c>
    </row>
    <row r="235" spans="1:10" x14ac:dyDescent="0.35">
      <c r="A235" s="11">
        <v>44343</v>
      </c>
      <c r="B235" s="10" t="s">
        <v>11</v>
      </c>
      <c r="C235">
        <v>5</v>
      </c>
      <c r="E235" s="10" t="s">
        <v>12</v>
      </c>
      <c r="F235" s="10" t="s">
        <v>13</v>
      </c>
      <c r="G235" s="10" t="s">
        <v>14</v>
      </c>
      <c r="H235">
        <v>5</v>
      </c>
      <c r="I235">
        <v>5</v>
      </c>
      <c r="J235">
        <v>-5</v>
      </c>
    </row>
    <row r="236" spans="1:10" x14ac:dyDescent="0.35">
      <c r="A236" s="11">
        <v>44343</v>
      </c>
      <c r="B236" s="10" t="s">
        <v>21</v>
      </c>
      <c r="C236">
        <v>165.8</v>
      </c>
      <c r="E236" s="10" t="s">
        <v>22</v>
      </c>
      <c r="F236" s="10" t="s">
        <v>17</v>
      </c>
      <c r="G236" s="10" t="s">
        <v>14</v>
      </c>
      <c r="H236">
        <v>5</v>
      </c>
      <c r="I236">
        <v>5</v>
      </c>
      <c r="J236">
        <v>-165.8</v>
      </c>
    </row>
    <row r="237" spans="1:10" x14ac:dyDescent="0.35">
      <c r="A237" s="11">
        <v>44344</v>
      </c>
      <c r="B237" s="10" t="s">
        <v>49</v>
      </c>
      <c r="C237">
        <v>128.80000000000001</v>
      </c>
      <c r="E237" s="10" t="s">
        <v>30</v>
      </c>
      <c r="F237" s="10" t="s">
        <v>28</v>
      </c>
      <c r="G237" s="10" t="s">
        <v>14</v>
      </c>
      <c r="H237">
        <v>5</v>
      </c>
      <c r="I237">
        <v>6</v>
      </c>
      <c r="J237">
        <v>-128.80000000000001</v>
      </c>
    </row>
    <row r="238" spans="1:10" x14ac:dyDescent="0.35">
      <c r="A238" s="11">
        <v>44344</v>
      </c>
      <c r="B238" s="10" t="s">
        <v>58</v>
      </c>
      <c r="C238">
        <v>235</v>
      </c>
      <c r="E238" s="10" t="s">
        <v>59</v>
      </c>
      <c r="F238" s="10" t="s">
        <v>28</v>
      </c>
      <c r="G238" s="10" t="s">
        <v>14</v>
      </c>
      <c r="H238">
        <v>5</v>
      </c>
      <c r="I238">
        <v>6</v>
      </c>
      <c r="J238">
        <v>-235</v>
      </c>
    </row>
    <row r="239" spans="1:10" x14ac:dyDescent="0.35">
      <c r="A239" s="11">
        <v>44345</v>
      </c>
      <c r="B239" s="10" t="s">
        <v>29</v>
      </c>
      <c r="C239">
        <v>149.19999999999999</v>
      </c>
      <c r="E239" s="10" t="s">
        <v>30</v>
      </c>
      <c r="F239" s="10" t="s">
        <v>28</v>
      </c>
      <c r="G239" s="10" t="s">
        <v>14</v>
      </c>
      <c r="H239">
        <v>5</v>
      </c>
      <c r="I239">
        <v>7</v>
      </c>
      <c r="J239">
        <v>-149.19999999999999</v>
      </c>
    </row>
    <row r="240" spans="1:10" x14ac:dyDescent="0.35">
      <c r="A240" s="11">
        <v>44345</v>
      </c>
      <c r="B240" s="10" t="s">
        <v>33</v>
      </c>
      <c r="C240">
        <v>27.200000000000003</v>
      </c>
      <c r="E240" s="10" t="s">
        <v>34</v>
      </c>
      <c r="F240" s="10" t="s">
        <v>20</v>
      </c>
      <c r="G240" s="10" t="s">
        <v>14</v>
      </c>
      <c r="H240">
        <v>5</v>
      </c>
      <c r="I240">
        <v>7</v>
      </c>
      <c r="J240">
        <v>-27.200000000000003</v>
      </c>
    </row>
    <row r="241" spans="1:10" x14ac:dyDescent="0.35">
      <c r="A241" s="11">
        <v>44347</v>
      </c>
      <c r="B241" s="10" t="s">
        <v>56</v>
      </c>
      <c r="C241">
        <v>15</v>
      </c>
      <c r="E241" s="10" t="s">
        <v>32</v>
      </c>
      <c r="F241" s="10" t="s">
        <v>13</v>
      </c>
      <c r="G241" s="10" t="s">
        <v>14</v>
      </c>
      <c r="H241">
        <v>5</v>
      </c>
      <c r="I241">
        <v>2</v>
      </c>
      <c r="J241">
        <v>-15</v>
      </c>
    </row>
    <row r="242" spans="1:10" x14ac:dyDescent="0.35">
      <c r="A242" s="11">
        <v>44346</v>
      </c>
      <c r="B242" s="10" t="s">
        <v>11</v>
      </c>
      <c r="C242">
        <v>5</v>
      </c>
      <c r="E242" s="10" t="s">
        <v>12</v>
      </c>
      <c r="F242" s="10" t="s">
        <v>13</v>
      </c>
      <c r="G242" s="10" t="s">
        <v>14</v>
      </c>
      <c r="H242">
        <v>5</v>
      </c>
      <c r="I242">
        <v>1</v>
      </c>
      <c r="J242">
        <v>-5</v>
      </c>
    </row>
    <row r="243" spans="1:10" x14ac:dyDescent="0.35">
      <c r="A243" s="11">
        <v>44347</v>
      </c>
      <c r="B243" s="10" t="s">
        <v>11</v>
      </c>
      <c r="C243">
        <v>5</v>
      </c>
      <c r="E243" s="10" t="s">
        <v>12</v>
      </c>
      <c r="F243" s="10" t="s">
        <v>13</v>
      </c>
      <c r="G243" s="10" t="s">
        <v>14</v>
      </c>
      <c r="H243">
        <v>5</v>
      </c>
      <c r="I243">
        <v>2</v>
      </c>
      <c r="J243">
        <v>-5</v>
      </c>
    </row>
    <row r="244" spans="1:10" x14ac:dyDescent="0.35">
      <c r="A244" s="11">
        <v>44348</v>
      </c>
      <c r="B244" s="10" t="s">
        <v>7</v>
      </c>
      <c r="D244">
        <v>5000</v>
      </c>
      <c r="E244" s="10" t="s">
        <v>8</v>
      </c>
      <c r="F244" s="10" t="s">
        <v>9</v>
      </c>
      <c r="G244" s="10" t="s">
        <v>10</v>
      </c>
      <c r="H244">
        <v>6</v>
      </c>
      <c r="I244">
        <v>3</v>
      </c>
      <c r="J244">
        <v>5000</v>
      </c>
    </row>
    <row r="245" spans="1:10" x14ac:dyDescent="0.35">
      <c r="A245" s="11">
        <v>44350</v>
      </c>
      <c r="B245" s="10" t="s">
        <v>11</v>
      </c>
      <c r="C245">
        <v>5</v>
      </c>
      <c r="E245" s="10" t="s">
        <v>12</v>
      </c>
      <c r="F245" s="10" t="s">
        <v>13</v>
      </c>
      <c r="G245" s="10" t="s">
        <v>14</v>
      </c>
      <c r="H245">
        <v>6</v>
      </c>
      <c r="I245">
        <v>5</v>
      </c>
      <c r="J245">
        <v>-5</v>
      </c>
    </row>
    <row r="246" spans="1:10" x14ac:dyDescent="0.35">
      <c r="A246" s="11">
        <v>44350</v>
      </c>
      <c r="B246" s="10" t="s">
        <v>15</v>
      </c>
      <c r="C246">
        <v>900</v>
      </c>
      <c r="E246" s="10" t="s">
        <v>16</v>
      </c>
      <c r="F246" s="10" t="s">
        <v>17</v>
      </c>
      <c r="G246" s="10" t="s">
        <v>14</v>
      </c>
      <c r="H246">
        <v>6</v>
      </c>
      <c r="I246">
        <v>5</v>
      </c>
      <c r="J246">
        <v>-900</v>
      </c>
    </row>
    <row r="247" spans="1:10" x14ac:dyDescent="0.35">
      <c r="A247" s="11">
        <v>44350</v>
      </c>
      <c r="B247" s="10" t="s">
        <v>18</v>
      </c>
      <c r="C247">
        <v>150</v>
      </c>
      <c r="E247" s="10" t="s">
        <v>19</v>
      </c>
      <c r="F247" s="10" t="s">
        <v>20</v>
      </c>
      <c r="G247" s="10" t="s">
        <v>14</v>
      </c>
      <c r="H247">
        <v>6</v>
      </c>
      <c r="I247">
        <v>5</v>
      </c>
      <c r="J247">
        <v>-150</v>
      </c>
    </row>
    <row r="248" spans="1:10" x14ac:dyDescent="0.35">
      <c r="A248" s="11">
        <v>44350</v>
      </c>
      <c r="B248" s="10" t="s">
        <v>11</v>
      </c>
      <c r="C248">
        <v>5</v>
      </c>
      <c r="E248" s="10" t="s">
        <v>12</v>
      </c>
      <c r="F248" s="10" t="s">
        <v>13</v>
      </c>
      <c r="G248" s="10" t="s">
        <v>14</v>
      </c>
      <c r="H248">
        <v>6</v>
      </c>
      <c r="I248">
        <v>5</v>
      </c>
      <c r="J248">
        <v>-5</v>
      </c>
    </row>
    <row r="249" spans="1:10" x14ac:dyDescent="0.35">
      <c r="A249" s="11">
        <v>44351</v>
      </c>
      <c r="B249" s="10" t="s">
        <v>11</v>
      </c>
      <c r="C249">
        <v>5</v>
      </c>
      <c r="E249" s="10" t="s">
        <v>12</v>
      </c>
      <c r="F249" s="10" t="s">
        <v>13</v>
      </c>
      <c r="G249" s="10" t="s">
        <v>14</v>
      </c>
      <c r="H249">
        <v>6</v>
      </c>
      <c r="I249">
        <v>6</v>
      </c>
      <c r="J249">
        <v>-5</v>
      </c>
    </row>
    <row r="250" spans="1:10" x14ac:dyDescent="0.35">
      <c r="A250" s="11">
        <v>44352</v>
      </c>
      <c r="B250" s="10" t="s">
        <v>11</v>
      </c>
      <c r="C250">
        <v>5</v>
      </c>
      <c r="E250" s="10" t="s">
        <v>12</v>
      </c>
      <c r="F250" s="10" t="s">
        <v>13</v>
      </c>
      <c r="G250" s="10" t="s">
        <v>14</v>
      </c>
      <c r="H250">
        <v>6</v>
      </c>
      <c r="I250">
        <v>7</v>
      </c>
      <c r="J250">
        <v>-5</v>
      </c>
    </row>
    <row r="251" spans="1:10" x14ac:dyDescent="0.35">
      <c r="A251" s="11">
        <v>44353</v>
      </c>
      <c r="B251" s="10" t="s">
        <v>11</v>
      </c>
      <c r="C251">
        <v>5</v>
      </c>
      <c r="E251" s="10" t="s">
        <v>12</v>
      </c>
      <c r="F251" s="10" t="s">
        <v>13</v>
      </c>
      <c r="G251" s="10" t="s">
        <v>14</v>
      </c>
      <c r="H251">
        <v>6</v>
      </c>
      <c r="I251">
        <v>1</v>
      </c>
      <c r="J251">
        <v>-5</v>
      </c>
    </row>
    <row r="252" spans="1:10" x14ac:dyDescent="0.35">
      <c r="A252" s="11">
        <v>44353</v>
      </c>
      <c r="B252" s="10" t="s">
        <v>21</v>
      </c>
      <c r="C252">
        <v>119</v>
      </c>
      <c r="E252" s="10" t="s">
        <v>22</v>
      </c>
      <c r="F252" s="10" t="s">
        <v>17</v>
      </c>
      <c r="G252" s="10" t="s">
        <v>14</v>
      </c>
      <c r="H252">
        <v>6</v>
      </c>
      <c r="I252">
        <v>1</v>
      </c>
      <c r="J252">
        <v>-119</v>
      </c>
    </row>
    <row r="253" spans="1:10" x14ac:dyDescent="0.35">
      <c r="A253" s="11">
        <v>44356</v>
      </c>
      <c r="B253" s="10" t="s">
        <v>23</v>
      </c>
      <c r="C253">
        <v>55</v>
      </c>
      <c r="E253" s="10" t="s">
        <v>24</v>
      </c>
      <c r="F253" s="10" t="s">
        <v>17</v>
      </c>
      <c r="G253" s="10" t="s">
        <v>14</v>
      </c>
      <c r="H253">
        <v>6</v>
      </c>
      <c r="I253">
        <v>4</v>
      </c>
      <c r="J253">
        <v>-55</v>
      </c>
    </row>
    <row r="254" spans="1:10" x14ac:dyDescent="0.35">
      <c r="A254" s="11">
        <v>44356</v>
      </c>
      <c r="B254" s="10" t="s">
        <v>11</v>
      </c>
      <c r="C254">
        <v>5</v>
      </c>
      <c r="E254" s="10" t="s">
        <v>12</v>
      </c>
      <c r="F254" s="10" t="s">
        <v>13</v>
      </c>
      <c r="G254" s="10" t="s">
        <v>14</v>
      </c>
      <c r="H254">
        <v>6</v>
      </c>
      <c r="I254">
        <v>4</v>
      </c>
      <c r="J254">
        <v>-5</v>
      </c>
    </row>
    <row r="255" spans="1:10" x14ac:dyDescent="0.35">
      <c r="A255" s="11">
        <v>44357</v>
      </c>
      <c r="B255" s="10" t="s">
        <v>11</v>
      </c>
      <c r="C255">
        <v>5</v>
      </c>
      <c r="E255" s="10" t="s">
        <v>12</v>
      </c>
      <c r="F255" s="10" t="s">
        <v>13</v>
      </c>
      <c r="G255" s="10" t="s">
        <v>14</v>
      </c>
      <c r="H255">
        <v>6</v>
      </c>
      <c r="I255">
        <v>5</v>
      </c>
      <c r="J255">
        <v>-5</v>
      </c>
    </row>
    <row r="256" spans="1:10" x14ac:dyDescent="0.35">
      <c r="A256" s="11">
        <v>44358</v>
      </c>
      <c r="B256" s="10" t="s">
        <v>25</v>
      </c>
      <c r="C256">
        <v>82.1</v>
      </c>
      <c r="E256" s="10" t="s">
        <v>48</v>
      </c>
      <c r="F256" s="10" t="s">
        <v>20</v>
      </c>
      <c r="G256" s="10" t="s">
        <v>14</v>
      </c>
      <c r="H256">
        <v>6</v>
      </c>
      <c r="I256">
        <v>6</v>
      </c>
      <c r="J256">
        <v>-82.1</v>
      </c>
    </row>
    <row r="257" spans="1:10" x14ac:dyDescent="0.35">
      <c r="A257" s="11">
        <v>44358</v>
      </c>
      <c r="B257" s="10" t="s">
        <v>11</v>
      </c>
      <c r="C257">
        <v>5</v>
      </c>
      <c r="E257" s="10" t="s">
        <v>12</v>
      </c>
      <c r="F257" s="10" t="s">
        <v>13</v>
      </c>
      <c r="G257" s="10" t="s">
        <v>14</v>
      </c>
      <c r="H257">
        <v>6</v>
      </c>
      <c r="I257">
        <v>6</v>
      </c>
      <c r="J257">
        <v>-5</v>
      </c>
    </row>
    <row r="258" spans="1:10" x14ac:dyDescent="0.35">
      <c r="A258" s="11">
        <v>44359</v>
      </c>
      <c r="B258" s="10" t="s">
        <v>11</v>
      </c>
      <c r="C258">
        <v>5</v>
      </c>
      <c r="E258" s="10" t="s">
        <v>12</v>
      </c>
      <c r="F258" s="10" t="s">
        <v>13</v>
      </c>
      <c r="G258" s="10" t="s">
        <v>14</v>
      </c>
      <c r="H258">
        <v>6</v>
      </c>
      <c r="I258">
        <v>7</v>
      </c>
      <c r="J258">
        <v>-5</v>
      </c>
    </row>
    <row r="259" spans="1:10" x14ac:dyDescent="0.35">
      <c r="A259" s="11">
        <v>44360</v>
      </c>
      <c r="B259" s="10" t="s">
        <v>21</v>
      </c>
      <c r="C259">
        <v>140.19999999999999</v>
      </c>
      <c r="E259" s="10" t="s">
        <v>22</v>
      </c>
      <c r="F259" s="10" t="s">
        <v>17</v>
      </c>
      <c r="G259" s="10" t="s">
        <v>14</v>
      </c>
      <c r="H259">
        <v>6</v>
      </c>
      <c r="I259">
        <v>1</v>
      </c>
      <c r="J259">
        <v>-140.19999999999999</v>
      </c>
    </row>
    <row r="260" spans="1:10" x14ac:dyDescent="0.35">
      <c r="A260" s="11">
        <v>44360</v>
      </c>
      <c r="B260" s="10" t="s">
        <v>11</v>
      </c>
      <c r="C260">
        <v>5</v>
      </c>
      <c r="E260" s="10" t="s">
        <v>12</v>
      </c>
      <c r="F260" s="10" t="s">
        <v>13</v>
      </c>
      <c r="G260" s="10" t="s">
        <v>14</v>
      </c>
      <c r="H260">
        <v>6</v>
      </c>
      <c r="I260">
        <v>1</v>
      </c>
      <c r="J260">
        <v>-5</v>
      </c>
    </row>
    <row r="261" spans="1:10" x14ac:dyDescent="0.35">
      <c r="A261" s="11">
        <v>44361</v>
      </c>
      <c r="B261" s="10" t="s">
        <v>11</v>
      </c>
      <c r="C261">
        <v>5</v>
      </c>
      <c r="E261" s="10" t="s">
        <v>12</v>
      </c>
      <c r="F261" s="10" t="s">
        <v>13</v>
      </c>
      <c r="G261" s="10" t="s">
        <v>14</v>
      </c>
      <c r="H261">
        <v>6</v>
      </c>
      <c r="I261">
        <v>2</v>
      </c>
      <c r="J261">
        <v>-5</v>
      </c>
    </row>
    <row r="262" spans="1:10" x14ac:dyDescent="0.35">
      <c r="A262" s="11">
        <v>44361</v>
      </c>
      <c r="B262" s="10" t="s">
        <v>26</v>
      </c>
      <c r="C262">
        <v>44.9</v>
      </c>
      <c r="E262" s="10" t="s">
        <v>27</v>
      </c>
      <c r="F262" s="10" t="s">
        <v>28</v>
      </c>
      <c r="G262" s="10" t="s">
        <v>14</v>
      </c>
      <c r="H262">
        <v>6</v>
      </c>
      <c r="I262">
        <v>2</v>
      </c>
      <c r="J262">
        <v>-44.9</v>
      </c>
    </row>
    <row r="263" spans="1:10" x14ac:dyDescent="0.35">
      <c r="A263" s="11">
        <v>44361</v>
      </c>
      <c r="B263" s="10" t="s">
        <v>29</v>
      </c>
      <c r="C263">
        <v>102.9</v>
      </c>
      <c r="E263" s="10" t="s">
        <v>30</v>
      </c>
      <c r="F263" s="10" t="s">
        <v>28</v>
      </c>
      <c r="G263" s="10" t="s">
        <v>14</v>
      </c>
      <c r="H263">
        <v>6</v>
      </c>
      <c r="I263">
        <v>2</v>
      </c>
      <c r="J263">
        <v>-102.9</v>
      </c>
    </row>
    <row r="264" spans="1:10" x14ac:dyDescent="0.35">
      <c r="A264" s="11">
        <v>44361</v>
      </c>
      <c r="B264" s="10" t="s">
        <v>31</v>
      </c>
      <c r="C264">
        <v>56.9</v>
      </c>
      <c r="E264" s="10" t="s">
        <v>32</v>
      </c>
      <c r="F264" s="10" t="s">
        <v>13</v>
      </c>
      <c r="G264" s="10" t="s">
        <v>14</v>
      </c>
      <c r="H264">
        <v>6</v>
      </c>
      <c r="I264">
        <v>2</v>
      </c>
      <c r="J264">
        <v>-56.9</v>
      </c>
    </row>
    <row r="265" spans="1:10" x14ac:dyDescent="0.35">
      <c r="A265" s="11">
        <v>44362</v>
      </c>
      <c r="B265" s="10" t="s">
        <v>33</v>
      </c>
      <c r="C265">
        <v>33.1</v>
      </c>
      <c r="E265" s="10" t="s">
        <v>34</v>
      </c>
      <c r="F265" s="10" t="s">
        <v>20</v>
      </c>
      <c r="G265" s="10" t="s">
        <v>14</v>
      </c>
      <c r="H265">
        <v>6</v>
      </c>
      <c r="I265">
        <v>3</v>
      </c>
      <c r="J265">
        <v>-33.1</v>
      </c>
    </row>
    <row r="266" spans="1:10" x14ac:dyDescent="0.35">
      <c r="A266" s="11">
        <v>44363</v>
      </c>
      <c r="B266" s="10" t="s">
        <v>35</v>
      </c>
      <c r="D266">
        <v>100</v>
      </c>
      <c r="E266" s="10" t="s">
        <v>36</v>
      </c>
      <c r="F266" s="10" t="s">
        <v>37</v>
      </c>
      <c r="G266" s="10" t="s">
        <v>10</v>
      </c>
      <c r="H266">
        <v>6</v>
      </c>
      <c r="I266">
        <v>4</v>
      </c>
      <c r="J266">
        <v>100</v>
      </c>
    </row>
    <row r="267" spans="1:10" x14ac:dyDescent="0.35">
      <c r="A267" s="11">
        <v>44363</v>
      </c>
      <c r="B267" s="10" t="s">
        <v>11</v>
      </c>
      <c r="C267">
        <v>5</v>
      </c>
      <c r="E267" s="10" t="s">
        <v>12</v>
      </c>
      <c r="F267" s="10" t="s">
        <v>13</v>
      </c>
      <c r="G267" s="10" t="s">
        <v>14</v>
      </c>
      <c r="H267">
        <v>6</v>
      </c>
      <c r="I267">
        <v>4</v>
      </c>
      <c r="J267">
        <v>-5</v>
      </c>
    </row>
    <row r="268" spans="1:10" x14ac:dyDescent="0.35">
      <c r="A268" s="11">
        <v>44364</v>
      </c>
      <c r="B268" s="10" t="s">
        <v>11</v>
      </c>
      <c r="C268">
        <v>5</v>
      </c>
      <c r="E268" s="10" t="s">
        <v>12</v>
      </c>
      <c r="F268" s="10" t="s">
        <v>13</v>
      </c>
      <c r="G268" s="10" t="s">
        <v>14</v>
      </c>
      <c r="H268">
        <v>6</v>
      </c>
      <c r="I268">
        <v>5</v>
      </c>
      <c r="J268">
        <v>-5</v>
      </c>
    </row>
    <row r="269" spans="1:10" x14ac:dyDescent="0.35">
      <c r="A269" s="11">
        <v>44364</v>
      </c>
      <c r="B269" s="10" t="s">
        <v>39</v>
      </c>
      <c r="C269">
        <v>40</v>
      </c>
      <c r="E269" s="10" t="s">
        <v>39</v>
      </c>
      <c r="F269" s="10" t="s">
        <v>17</v>
      </c>
      <c r="G269" s="10" t="s">
        <v>14</v>
      </c>
      <c r="H269">
        <v>6</v>
      </c>
      <c r="I269">
        <v>5</v>
      </c>
      <c r="J269">
        <v>-40</v>
      </c>
    </row>
    <row r="270" spans="1:10" x14ac:dyDescent="0.35">
      <c r="A270" s="11">
        <v>44365</v>
      </c>
      <c r="B270" s="10" t="s">
        <v>40</v>
      </c>
      <c r="C270">
        <v>50.1</v>
      </c>
      <c r="E270" s="10" t="s">
        <v>41</v>
      </c>
      <c r="F270" s="10" t="s">
        <v>28</v>
      </c>
      <c r="G270" s="10" t="s">
        <v>14</v>
      </c>
      <c r="H270">
        <v>6</v>
      </c>
      <c r="I270">
        <v>6</v>
      </c>
      <c r="J270">
        <v>-50.1</v>
      </c>
    </row>
    <row r="271" spans="1:10" x14ac:dyDescent="0.35">
      <c r="A271" s="11">
        <v>44365</v>
      </c>
      <c r="B271" s="10" t="s">
        <v>42</v>
      </c>
      <c r="C271">
        <v>35</v>
      </c>
      <c r="E271" s="10" t="s">
        <v>27</v>
      </c>
      <c r="F271" s="10" t="s">
        <v>28</v>
      </c>
      <c r="G271" s="10" t="s">
        <v>14</v>
      </c>
      <c r="H271">
        <v>6</v>
      </c>
      <c r="I271">
        <v>6</v>
      </c>
      <c r="J271">
        <v>-35</v>
      </c>
    </row>
    <row r="272" spans="1:10" x14ac:dyDescent="0.35">
      <c r="A272" s="11">
        <v>44365</v>
      </c>
      <c r="B272" s="10" t="s">
        <v>11</v>
      </c>
      <c r="C272">
        <v>5</v>
      </c>
      <c r="E272" s="10" t="s">
        <v>12</v>
      </c>
      <c r="F272" s="10" t="s">
        <v>13</v>
      </c>
      <c r="G272" s="10" t="s">
        <v>14</v>
      </c>
      <c r="H272">
        <v>6</v>
      </c>
      <c r="I272">
        <v>6</v>
      </c>
      <c r="J272">
        <v>-5</v>
      </c>
    </row>
    <row r="273" spans="1:10" x14ac:dyDescent="0.35">
      <c r="A273" s="11">
        <v>44366</v>
      </c>
      <c r="B273" s="10" t="s">
        <v>11</v>
      </c>
      <c r="C273">
        <v>5</v>
      </c>
      <c r="E273" s="10" t="s">
        <v>12</v>
      </c>
      <c r="F273" s="10" t="s">
        <v>13</v>
      </c>
      <c r="G273" s="10" t="s">
        <v>14</v>
      </c>
      <c r="H273">
        <v>6</v>
      </c>
      <c r="I273">
        <v>7</v>
      </c>
      <c r="J273">
        <v>-5</v>
      </c>
    </row>
    <row r="274" spans="1:10" x14ac:dyDescent="0.35">
      <c r="A274" s="11">
        <v>44367</v>
      </c>
      <c r="B274" s="10" t="s">
        <v>11</v>
      </c>
      <c r="C274">
        <v>5</v>
      </c>
      <c r="E274" s="10" t="s">
        <v>12</v>
      </c>
      <c r="F274" s="10" t="s">
        <v>13</v>
      </c>
      <c r="G274" s="10" t="s">
        <v>14</v>
      </c>
      <c r="H274">
        <v>6</v>
      </c>
      <c r="I274">
        <v>1</v>
      </c>
      <c r="J274">
        <v>-5</v>
      </c>
    </row>
    <row r="275" spans="1:10" x14ac:dyDescent="0.35">
      <c r="A275" s="11">
        <v>44367</v>
      </c>
      <c r="B275" s="10" t="s">
        <v>21</v>
      </c>
      <c r="C275">
        <v>234</v>
      </c>
      <c r="E275" s="10" t="s">
        <v>22</v>
      </c>
      <c r="F275" s="10" t="s">
        <v>17</v>
      </c>
      <c r="G275" s="10" t="s">
        <v>14</v>
      </c>
      <c r="H275">
        <v>6</v>
      </c>
      <c r="I275">
        <v>1</v>
      </c>
      <c r="J275">
        <v>-234</v>
      </c>
    </row>
    <row r="276" spans="1:10" x14ac:dyDescent="0.35">
      <c r="A276" s="11">
        <v>44368</v>
      </c>
      <c r="B276" s="10" t="s">
        <v>43</v>
      </c>
      <c r="C276">
        <v>42.1</v>
      </c>
      <c r="E276" s="10" t="s">
        <v>32</v>
      </c>
      <c r="F276" s="10" t="s">
        <v>13</v>
      </c>
      <c r="G276" s="10" t="s">
        <v>14</v>
      </c>
      <c r="H276">
        <v>6</v>
      </c>
      <c r="I276">
        <v>2</v>
      </c>
      <c r="J276">
        <v>-42.1</v>
      </c>
    </row>
    <row r="277" spans="1:10" x14ac:dyDescent="0.35">
      <c r="A277" s="11">
        <v>44369</v>
      </c>
      <c r="B277" s="10" t="s">
        <v>44</v>
      </c>
      <c r="C277">
        <v>17.099999999999998</v>
      </c>
      <c r="E277" s="10" t="s">
        <v>32</v>
      </c>
      <c r="F277" s="10" t="s">
        <v>13</v>
      </c>
      <c r="G277" s="10" t="s">
        <v>14</v>
      </c>
      <c r="H277">
        <v>6</v>
      </c>
      <c r="I277">
        <v>3</v>
      </c>
      <c r="J277">
        <v>-17.099999999999998</v>
      </c>
    </row>
    <row r="278" spans="1:10" x14ac:dyDescent="0.35">
      <c r="A278" s="11">
        <v>44370</v>
      </c>
      <c r="B278" s="10" t="s">
        <v>45</v>
      </c>
      <c r="C278">
        <v>55</v>
      </c>
      <c r="E278" s="10" t="s">
        <v>46</v>
      </c>
      <c r="F278" s="10" t="s">
        <v>47</v>
      </c>
      <c r="G278" s="10" t="s">
        <v>14</v>
      </c>
      <c r="H278">
        <v>6</v>
      </c>
      <c r="I278">
        <v>4</v>
      </c>
      <c r="J278">
        <v>-55</v>
      </c>
    </row>
    <row r="279" spans="1:10" x14ac:dyDescent="0.35">
      <c r="A279" s="11">
        <v>44370</v>
      </c>
      <c r="B279" s="10" t="s">
        <v>25</v>
      </c>
      <c r="C279">
        <v>67.900000000000006</v>
      </c>
      <c r="E279" s="10" t="s">
        <v>48</v>
      </c>
      <c r="F279" s="10" t="s">
        <v>20</v>
      </c>
      <c r="G279" s="10" t="s">
        <v>14</v>
      </c>
      <c r="H279">
        <v>6</v>
      </c>
      <c r="I279">
        <v>4</v>
      </c>
      <c r="J279">
        <v>-67.900000000000006</v>
      </c>
    </row>
    <row r="280" spans="1:10" x14ac:dyDescent="0.35">
      <c r="A280" s="11">
        <v>44370</v>
      </c>
      <c r="B280" s="10" t="s">
        <v>11</v>
      </c>
      <c r="C280">
        <v>5</v>
      </c>
      <c r="E280" s="10" t="s">
        <v>12</v>
      </c>
      <c r="F280" s="10" t="s">
        <v>13</v>
      </c>
      <c r="G280" s="10" t="s">
        <v>14</v>
      </c>
      <c r="H280">
        <v>6</v>
      </c>
      <c r="I280">
        <v>4</v>
      </c>
      <c r="J280">
        <v>-5</v>
      </c>
    </row>
    <row r="281" spans="1:10" x14ac:dyDescent="0.35">
      <c r="A281" s="11">
        <v>44371</v>
      </c>
      <c r="B281" s="10" t="s">
        <v>11</v>
      </c>
      <c r="C281">
        <v>5</v>
      </c>
      <c r="E281" s="10" t="s">
        <v>12</v>
      </c>
      <c r="F281" s="10" t="s">
        <v>13</v>
      </c>
      <c r="G281" s="10" t="s">
        <v>14</v>
      </c>
      <c r="H281">
        <v>6</v>
      </c>
      <c r="I281">
        <v>5</v>
      </c>
      <c r="J281">
        <v>-5</v>
      </c>
    </row>
    <row r="282" spans="1:10" x14ac:dyDescent="0.35">
      <c r="A282" s="11">
        <v>44372</v>
      </c>
      <c r="B282" s="10" t="s">
        <v>11</v>
      </c>
      <c r="C282">
        <v>5</v>
      </c>
      <c r="E282" s="10" t="s">
        <v>12</v>
      </c>
      <c r="F282" s="10" t="s">
        <v>13</v>
      </c>
      <c r="G282" s="10" t="s">
        <v>14</v>
      </c>
      <c r="H282">
        <v>6</v>
      </c>
      <c r="I282">
        <v>6</v>
      </c>
      <c r="J282">
        <v>-5</v>
      </c>
    </row>
    <row r="283" spans="1:10" x14ac:dyDescent="0.35">
      <c r="A283" s="11">
        <v>44373</v>
      </c>
      <c r="B283" s="10" t="s">
        <v>11</v>
      </c>
      <c r="C283">
        <v>5</v>
      </c>
      <c r="E283" s="10" t="s">
        <v>12</v>
      </c>
      <c r="F283" s="10" t="s">
        <v>13</v>
      </c>
      <c r="G283" s="10" t="s">
        <v>14</v>
      </c>
      <c r="H283">
        <v>6</v>
      </c>
      <c r="I283">
        <v>7</v>
      </c>
      <c r="J283">
        <v>-5</v>
      </c>
    </row>
    <row r="284" spans="1:10" x14ac:dyDescent="0.35">
      <c r="A284" s="11">
        <v>44374</v>
      </c>
      <c r="B284" s="10" t="s">
        <v>11</v>
      </c>
      <c r="C284">
        <v>5</v>
      </c>
      <c r="E284" s="10" t="s">
        <v>12</v>
      </c>
      <c r="F284" s="10" t="s">
        <v>13</v>
      </c>
      <c r="G284" s="10" t="s">
        <v>14</v>
      </c>
      <c r="H284">
        <v>6</v>
      </c>
      <c r="I284">
        <v>1</v>
      </c>
      <c r="J284">
        <v>-5</v>
      </c>
    </row>
    <row r="285" spans="1:10" x14ac:dyDescent="0.35">
      <c r="A285" s="11">
        <v>44374</v>
      </c>
      <c r="B285" s="10" t="s">
        <v>21</v>
      </c>
      <c r="C285">
        <v>166.9</v>
      </c>
      <c r="E285" s="10" t="s">
        <v>22</v>
      </c>
      <c r="F285" s="10" t="s">
        <v>17</v>
      </c>
      <c r="G285" s="10" t="s">
        <v>14</v>
      </c>
      <c r="H285">
        <v>6</v>
      </c>
      <c r="I285">
        <v>1</v>
      </c>
      <c r="J285">
        <v>-166.9</v>
      </c>
    </row>
    <row r="286" spans="1:10" x14ac:dyDescent="0.35">
      <c r="A286" s="11">
        <v>44375</v>
      </c>
      <c r="B286" s="10" t="s">
        <v>49</v>
      </c>
      <c r="C286">
        <v>129.9</v>
      </c>
      <c r="E286" s="10" t="s">
        <v>30</v>
      </c>
      <c r="F286" s="10" t="s">
        <v>28</v>
      </c>
      <c r="G286" s="10" t="s">
        <v>14</v>
      </c>
      <c r="H286">
        <v>6</v>
      </c>
      <c r="I286">
        <v>2</v>
      </c>
      <c r="J286">
        <v>-129.9</v>
      </c>
    </row>
    <row r="287" spans="1:10" x14ac:dyDescent="0.35">
      <c r="A287" s="11">
        <v>44375</v>
      </c>
      <c r="B287" s="10" t="s">
        <v>50</v>
      </c>
      <c r="C287">
        <v>180.29999999999998</v>
      </c>
      <c r="E287" s="10" t="s">
        <v>27</v>
      </c>
      <c r="F287" s="10" t="s">
        <v>28</v>
      </c>
      <c r="G287" s="10" t="s">
        <v>14</v>
      </c>
      <c r="H287">
        <v>6</v>
      </c>
      <c r="I287">
        <v>2</v>
      </c>
      <c r="J287">
        <v>-180.29999999999998</v>
      </c>
    </row>
    <row r="288" spans="1:10" x14ac:dyDescent="0.35">
      <c r="A288" s="11">
        <v>44376</v>
      </c>
      <c r="B288" s="10" t="s">
        <v>29</v>
      </c>
      <c r="C288">
        <v>150.1</v>
      </c>
      <c r="E288" s="10" t="s">
        <v>30</v>
      </c>
      <c r="F288" s="10" t="s">
        <v>28</v>
      </c>
      <c r="G288" s="10" t="s">
        <v>14</v>
      </c>
      <c r="H288">
        <v>6</v>
      </c>
      <c r="I288">
        <v>3</v>
      </c>
      <c r="J288">
        <v>-150.1</v>
      </c>
    </row>
    <row r="289" spans="1:10" x14ac:dyDescent="0.35">
      <c r="A289" s="11">
        <v>44376</v>
      </c>
      <c r="B289" s="10" t="s">
        <v>33</v>
      </c>
      <c r="C289">
        <v>28.200000000000003</v>
      </c>
      <c r="E289" s="10" t="s">
        <v>34</v>
      </c>
      <c r="F289" s="10" t="s">
        <v>20</v>
      </c>
      <c r="G289" s="10" t="s">
        <v>14</v>
      </c>
      <c r="H289">
        <v>6</v>
      </c>
      <c r="I289">
        <v>3</v>
      </c>
      <c r="J289">
        <v>-28.200000000000003</v>
      </c>
    </row>
    <row r="290" spans="1:10" x14ac:dyDescent="0.35">
      <c r="A290" s="11">
        <v>44376</v>
      </c>
      <c r="B290" s="10" t="s">
        <v>56</v>
      </c>
      <c r="C290">
        <v>15</v>
      </c>
      <c r="E290" s="10" t="s">
        <v>32</v>
      </c>
      <c r="F290" s="10" t="s">
        <v>13</v>
      </c>
      <c r="G290" s="10" t="s">
        <v>14</v>
      </c>
      <c r="H290">
        <v>6</v>
      </c>
      <c r="I290">
        <v>3</v>
      </c>
      <c r="J290">
        <v>-15</v>
      </c>
    </row>
    <row r="291" spans="1:10" x14ac:dyDescent="0.35">
      <c r="A291" s="11">
        <v>44377</v>
      </c>
      <c r="B291" s="10" t="s">
        <v>11</v>
      </c>
      <c r="C291">
        <v>5</v>
      </c>
      <c r="E291" s="10" t="s">
        <v>12</v>
      </c>
      <c r="F291" s="10" t="s">
        <v>13</v>
      </c>
      <c r="G291" s="10" t="s">
        <v>14</v>
      </c>
      <c r="H291">
        <v>6</v>
      </c>
      <c r="I291">
        <v>4</v>
      </c>
      <c r="J291">
        <v>-5</v>
      </c>
    </row>
    <row r="292" spans="1:10" x14ac:dyDescent="0.35">
      <c r="A292" s="11">
        <v>44378</v>
      </c>
      <c r="B292" s="10" t="s">
        <v>11</v>
      </c>
      <c r="C292">
        <v>5</v>
      </c>
      <c r="E292" s="10" t="s">
        <v>12</v>
      </c>
      <c r="F292" s="10" t="s">
        <v>13</v>
      </c>
      <c r="G292" s="10" t="s">
        <v>14</v>
      </c>
      <c r="H292">
        <v>7</v>
      </c>
      <c r="I292">
        <v>5</v>
      </c>
      <c r="J292">
        <v>-5</v>
      </c>
    </row>
    <row r="293" spans="1:10" x14ac:dyDescent="0.35">
      <c r="A293" s="11">
        <v>44379</v>
      </c>
      <c r="B293" s="10" t="s">
        <v>7</v>
      </c>
      <c r="D293">
        <v>5000</v>
      </c>
      <c r="E293" s="10" t="s">
        <v>8</v>
      </c>
      <c r="F293" s="10" t="s">
        <v>9</v>
      </c>
      <c r="G293" s="10" t="s">
        <v>10</v>
      </c>
      <c r="H293">
        <v>7</v>
      </c>
      <c r="I293">
        <v>6</v>
      </c>
      <c r="J293">
        <v>5000</v>
      </c>
    </row>
    <row r="294" spans="1:10" x14ac:dyDescent="0.35">
      <c r="A294" s="11">
        <v>44380</v>
      </c>
      <c r="B294" s="10" t="s">
        <v>11</v>
      </c>
      <c r="C294">
        <v>5</v>
      </c>
      <c r="E294" s="10" t="s">
        <v>12</v>
      </c>
      <c r="F294" s="10" t="s">
        <v>13</v>
      </c>
      <c r="G294" s="10" t="s">
        <v>14</v>
      </c>
      <c r="H294">
        <v>7</v>
      </c>
      <c r="I294">
        <v>7</v>
      </c>
      <c r="J294">
        <v>-5</v>
      </c>
    </row>
    <row r="295" spans="1:10" x14ac:dyDescent="0.35">
      <c r="A295" s="11">
        <v>44382</v>
      </c>
      <c r="B295" s="10" t="s">
        <v>15</v>
      </c>
      <c r="C295">
        <v>900</v>
      </c>
      <c r="E295" s="10" t="s">
        <v>16</v>
      </c>
      <c r="F295" s="10" t="s">
        <v>17</v>
      </c>
      <c r="G295" s="10" t="s">
        <v>14</v>
      </c>
      <c r="H295">
        <v>7</v>
      </c>
      <c r="I295">
        <v>2</v>
      </c>
      <c r="J295">
        <v>-900</v>
      </c>
    </row>
    <row r="296" spans="1:10" x14ac:dyDescent="0.35">
      <c r="A296" s="11">
        <v>44382</v>
      </c>
      <c r="B296" s="10" t="s">
        <v>18</v>
      </c>
      <c r="C296">
        <v>150</v>
      </c>
      <c r="E296" s="10" t="s">
        <v>19</v>
      </c>
      <c r="F296" s="10" t="s">
        <v>20</v>
      </c>
      <c r="G296" s="10" t="s">
        <v>14</v>
      </c>
      <c r="H296">
        <v>7</v>
      </c>
      <c r="I296">
        <v>2</v>
      </c>
      <c r="J296">
        <v>-150</v>
      </c>
    </row>
    <row r="297" spans="1:10" x14ac:dyDescent="0.35">
      <c r="A297" s="11">
        <v>44382</v>
      </c>
      <c r="B297" s="10" t="s">
        <v>60</v>
      </c>
      <c r="C297">
        <v>15</v>
      </c>
      <c r="E297" s="10" t="s">
        <v>32</v>
      </c>
      <c r="F297" s="10" t="s">
        <v>13</v>
      </c>
      <c r="G297" s="10" t="s">
        <v>14</v>
      </c>
      <c r="H297">
        <v>7</v>
      </c>
      <c r="I297">
        <v>2</v>
      </c>
      <c r="J297">
        <v>-15</v>
      </c>
    </row>
    <row r="298" spans="1:10" x14ac:dyDescent="0.35">
      <c r="A298" s="11">
        <v>44382</v>
      </c>
      <c r="B298" s="10" t="s">
        <v>11</v>
      </c>
      <c r="C298">
        <v>5</v>
      </c>
      <c r="E298" s="10" t="s">
        <v>12</v>
      </c>
      <c r="F298" s="10" t="s">
        <v>13</v>
      </c>
      <c r="G298" s="10" t="s">
        <v>14</v>
      </c>
      <c r="H298">
        <v>7</v>
      </c>
      <c r="I298">
        <v>2</v>
      </c>
      <c r="J298">
        <v>-5</v>
      </c>
    </row>
    <row r="299" spans="1:10" x14ac:dyDescent="0.35">
      <c r="A299" s="11">
        <v>44383</v>
      </c>
      <c r="B299" s="10" t="s">
        <v>11</v>
      </c>
      <c r="C299">
        <v>5</v>
      </c>
      <c r="E299" s="10" t="s">
        <v>12</v>
      </c>
      <c r="F299" s="10" t="s">
        <v>13</v>
      </c>
      <c r="G299" s="10" t="s">
        <v>14</v>
      </c>
      <c r="H299">
        <v>7</v>
      </c>
      <c r="I299">
        <v>3</v>
      </c>
      <c r="J299">
        <v>-5</v>
      </c>
    </row>
    <row r="300" spans="1:10" x14ac:dyDescent="0.35">
      <c r="A300" s="11">
        <v>44384</v>
      </c>
      <c r="B300" s="10" t="s">
        <v>11</v>
      </c>
      <c r="C300">
        <v>5</v>
      </c>
      <c r="E300" s="10" t="s">
        <v>12</v>
      </c>
      <c r="F300" s="10" t="s">
        <v>13</v>
      </c>
      <c r="G300" s="10" t="s">
        <v>14</v>
      </c>
      <c r="H300">
        <v>7</v>
      </c>
      <c r="I300">
        <v>4</v>
      </c>
      <c r="J300">
        <v>-5</v>
      </c>
    </row>
    <row r="301" spans="1:10" x14ac:dyDescent="0.35">
      <c r="A301" s="11">
        <v>44384</v>
      </c>
      <c r="B301" s="10" t="s">
        <v>21</v>
      </c>
      <c r="C301">
        <v>180</v>
      </c>
      <c r="E301" s="10" t="s">
        <v>22</v>
      </c>
      <c r="F301" s="10" t="s">
        <v>17</v>
      </c>
      <c r="G301" s="10" t="s">
        <v>14</v>
      </c>
      <c r="H301">
        <v>7</v>
      </c>
      <c r="I301">
        <v>4</v>
      </c>
      <c r="J301">
        <v>-180</v>
      </c>
    </row>
    <row r="302" spans="1:10" x14ac:dyDescent="0.35">
      <c r="A302" s="11">
        <v>44387</v>
      </c>
      <c r="B302" s="10" t="s">
        <v>23</v>
      </c>
      <c r="C302">
        <v>56.1</v>
      </c>
      <c r="E302" s="10" t="s">
        <v>24</v>
      </c>
      <c r="F302" s="10" t="s">
        <v>17</v>
      </c>
      <c r="G302" s="10" t="s">
        <v>14</v>
      </c>
      <c r="H302">
        <v>7</v>
      </c>
      <c r="I302">
        <v>7</v>
      </c>
      <c r="J302">
        <v>-56.1</v>
      </c>
    </row>
    <row r="303" spans="1:10" x14ac:dyDescent="0.35">
      <c r="A303" s="11">
        <v>44387</v>
      </c>
      <c r="B303" s="10" t="s">
        <v>11</v>
      </c>
      <c r="C303">
        <v>5</v>
      </c>
      <c r="E303" s="10" t="s">
        <v>12</v>
      </c>
      <c r="F303" s="10" t="s">
        <v>13</v>
      </c>
      <c r="G303" s="10" t="s">
        <v>14</v>
      </c>
      <c r="H303">
        <v>7</v>
      </c>
      <c r="I303">
        <v>7</v>
      </c>
      <c r="J303">
        <v>-5</v>
      </c>
    </row>
    <row r="304" spans="1:10" x14ac:dyDescent="0.35">
      <c r="A304" s="11">
        <v>44388</v>
      </c>
      <c r="B304" s="10" t="s">
        <v>11</v>
      </c>
      <c r="C304">
        <v>5</v>
      </c>
      <c r="E304" s="10" t="s">
        <v>12</v>
      </c>
      <c r="F304" s="10" t="s">
        <v>13</v>
      </c>
      <c r="G304" s="10" t="s">
        <v>14</v>
      </c>
      <c r="H304">
        <v>7</v>
      </c>
      <c r="I304">
        <v>1</v>
      </c>
      <c r="J304">
        <v>-5</v>
      </c>
    </row>
    <row r="305" spans="1:10" x14ac:dyDescent="0.35">
      <c r="A305" s="11">
        <v>44389</v>
      </c>
      <c r="B305" s="10" t="s">
        <v>25</v>
      </c>
      <c r="C305">
        <v>83.1</v>
      </c>
      <c r="E305" s="10" t="s">
        <v>48</v>
      </c>
      <c r="F305" s="10" t="s">
        <v>20</v>
      </c>
      <c r="G305" s="10" t="s">
        <v>14</v>
      </c>
      <c r="H305">
        <v>7</v>
      </c>
      <c r="I305">
        <v>2</v>
      </c>
      <c r="J305">
        <v>-83.1</v>
      </c>
    </row>
    <row r="306" spans="1:10" x14ac:dyDescent="0.35">
      <c r="A306" s="11">
        <v>44389</v>
      </c>
      <c r="B306" s="10" t="s">
        <v>11</v>
      </c>
      <c r="C306">
        <v>5</v>
      </c>
      <c r="E306" s="10" t="s">
        <v>12</v>
      </c>
      <c r="F306" s="10" t="s">
        <v>13</v>
      </c>
      <c r="G306" s="10" t="s">
        <v>14</v>
      </c>
      <c r="H306">
        <v>7</v>
      </c>
      <c r="I306">
        <v>2</v>
      </c>
      <c r="J306">
        <v>-5</v>
      </c>
    </row>
    <row r="307" spans="1:10" x14ac:dyDescent="0.35">
      <c r="A307" s="11">
        <v>44390</v>
      </c>
      <c r="B307" s="10" t="s">
        <v>11</v>
      </c>
      <c r="C307">
        <v>5</v>
      </c>
      <c r="E307" s="10" t="s">
        <v>12</v>
      </c>
      <c r="F307" s="10" t="s">
        <v>13</v>
      </c>
      <c r="G307" s="10" t="s">
        <v>14</v>
      </c>
      <c r="H307">
        <v>7</v>
      </c>
      <c r="I307">
        <v>3</v>
      </c>
      <c r="J307">
        <v>-5</v>
      </c>
    </row>
    <row r="308" spans="1:10" x14ac:dyDescent="0.35">
      <c r="A308" s="11">
        <v>44391</v>
      </c>
      <c r="B308" s="10" t="s">
        <v>21</v>
      </c>
      <c r="C308">
        <v>141.1</v>
      </c>
      <c r="E308" s="10" t="s">
        <v>22</v>
      </c>
      <c r="F308" s="10" t="s">
        <v>17</v>
      </c>
      <c r="G308" s="10" t="s">
        <v>14</v>
      </c>
      <c r="H308">
        <v>7</v>
      </c>
      <c r="I308">
        <v>4</v>
      </c>
      <c r="J308">
        <v>-141.1</v>
      </c>
    </row>
    <row r="309" spans="1:10" x14ac:dyDescent="0.35">
      <c r="A309" s="11">
        <v>44391</v>
      </c>
      <c r="B309" s="10" t="s">
        <v>11</v>
      </c>
      <c r="C309">
        <v>5</v>
      </c>
      <c r="E309" s="10" t="s">
        <v>12</v>
      </c>
      <c r="F309" s="10" t="s">
        <v>13</v>
      </c>
      <c r="G309" s="10" t="s">
        <v>14</v>
      </c>
      <c r="H309">
        <v>7</v>
      </c>
      <c r="I309">
        <v>4</v>
      </c>
      <c r="J309">
        <v>-5</v>
      </c>
    </row>
    <row r="310" spans="1:10" x14ac:dyDescent="0.35">
      <c r="A310" s="11">
        <v>44392</v>
      </c>
      <c r="B310" s="10" t="s">
        <v>11</v>
      </c>
      <c r="C310">
        <v>5</v>
      </c>
      <c r="E310" s="10" t="s">
        <v>12</v>
      </c>
      <c r="F310" s="10" t="s">
        <v>13</v>
      </c>
      <c r="G310" s="10" t="s">
        <v>14</v>
      </c>
      <c r="H310">
        <v>7</v>
      </c>
      <c r="I310">
        <v>5</v>
      </c>
      <c r="J310">
        <v>-5</v>
      </c>
    </row>
    <row r="311" spans="1:10" x14ac:dyDescent="0.35">
      <c r="A311" s="11">
        <v>44392</v>
      </c>
      <c r="B311" s="10" t="s">
        <v>26</v>
      </c>
      <c r="C311">
        <v>45.8</v>
      </c>
      <c r="E311" s="10" t="s">
        <v>27</v>
      </c>
      <c r="F311" s="10" t="s">
        <v>28</v>
      </c>
      <c r="G311" s="10" t="s">
        <v>14</v>
      </c>
      <c r="H311">
        <v>7</v>
      </c>
      <c r="I311">
        <v>5</v>
      </c>
      <c r="J311">
        <v>-45.8</v>
      </c>
    </row>
    <row r="312" spans="1:10" x14ac:dyDescent="0.35">
      <c r="A312" s="11">
        <v>44392</v>
      </c>
      <c r="B312" s="10" t="s">
        <v>29</v>
      </c>
      <c r="C312">
        <v>103.80000000000001</v>
      </c>
      <c r="E312" s="10" t="s">
        <v>30</v>
      </c>
      <c r="F312" s="10" t="s">
        <v>28</v>
      </c>
      <c r="G312" s="10" t="s">
        <v>14</v>
      </c>
      <c r="H312">
        <v>7</v>
      </c>
      <c r="I312">
        <v>5</v>
      </c>
      <c r="J312">
        <v>-103.80000000000001</v>
      </c>
    </row>
    <row r="313" spans="1:10" x14ac:dyDescent="0.35">
      <c r="A313" s="11">
        <v>44392</v>
      </c>
      <c r="B313" s="10" t="s">
        <v>31</v>
      </c>
      <c r="C313">
        <v>58</v>
      </c>
      <c r="E313" s="10" t="s">
        <v>32</v>
      </c>
      <c r="F313" s="10" t="s">
        <v>13</v>
      </c>
      <c r="G313" s="10" t="s">
        <v>14</v>
      </c>
      <c r="H313">
        <v>7</v>
      </c>
      <c r="I313">
        <v>5</v>
      </c>
      <c r="J313">
        <v>-58</v>
      </c>
    </row>
    <row r="314" spans="1:10" x14ac:dyDescent="0.35">
      <c r="A314" s="11">
        <v>44393</v>
      </c>
      <c r="B314" s="10" t="s">
        <v>33</v>
      </c>
      <c r="C314">
        <v>34.200000000000003</v>
      </c>
      <c r="E314" s="10" t="s">
        <v>34</v>
      </c>
      <c r="F314" s="10" t="s">
        <v>20</v>
      </c>
      <c r="G314" s="10" t="s">
        <v>14</v>
      </c>
      <c r="H314">
        <v>7</v>
      </c>
      <c r="I314">
        <v>6</v>
      </c>
      <c r="J314">
        <v>-34.200000000000003</v>
      </c>
    </row>
    <row r="315" spans="1:10" x14ac:dyDescent="0.35">
      <c r="A315" s="11">
        <v>44394</v>
      </c>
      <c r="B315" s="10" t="s">
        <v>35</v>
      </c>
      <c r="D315">
        <v>200</v>
      </c>
      <c r="E315" s="10" t="s">
        <v>36</v>
      </c>
      <c r="F315" s="10" t="s">
        <v>37</v>
      </c>
      <c r="G315" s="10" t="s">
        <v>10</v>
      </c>
      <c r="H315">
        <v>7</v>
      </c>
      <c r="I315">
        <v>7</v>
      </c>
      <c r="J315">
        <v>200</v>
      </c>
    </row>
    <row r="316" spans="1:10" x14ac:dyDescent="0.35">
      <c r="A316" s="11">
        <v>44394</v>
      </c>
      <c r="B316" s="10" t="s">
        <v>11</v>
      </c>
      <c r="C316">
        <v>5</v>
      </c>
      <c r="E316" s="10" t="s">
        <v>12</v>
      </c>
      <c r="F316" s="10" t="s">
        <v>13</v>
      </c>
      <c r="G316" s="10" t="s">
        <v>14</v>
      </c>
      <c r="H316">
        <v>7</v>
      </c>
      <c r="I316">
        <v>7</v>
      </c>
      <c r="J316">
        <v>-5</v>
      </c>
    </row>
    <row r="317" spans="1:10" x14ac:dyDescent="0.35">
      <c r="A317" s="11">
        <v>44395</v>
      </c>
      <c r="B317" s="10" t="s">
        <v>11</v>
      </c>
      <c r="C317">
        <v>5</v>
      </c>
      <c r="E317" s="10" t="s">
        <v>12</v>
      </c>
      <c r="F317" s="10" t="s">
        <v>13</v>
      </c>
      <c r="G317" s="10" t="s">
        <v>14</v>
      </c>
      <c r="H317">
        <v>7</v>
      </c>
      <c r="I317">
        <v>1</v>
      </c>
      <c r="J317">
        <v>-5</v>
      </c>
    </row>
    <row r="318" spans="1:10" x14ac:dyDescent="0.35">
      <c r="A318" s="11">
        <v>44395</v>
      </c>
      <c r="B318" s="10" t="s">
        <v>39</v>
      </c>
      <c r="C318">
        <v>40</v>
      </c>
      <c r="E318" s="10" t="s">
        <v>39</v>
      </c>
      <c r="F318" s="10" t="s">
        <v>17</v>
      </c>
      <c r="G318" s="10" t="s">
        <v>14</v>
      </c>
      <c r="H318">
        <v>7</v>
      </c>
      <c r="I318">
        <v>1</v>
      </c>
      <c r="J318">
        <v>-40</v>
      </c>
    </row>
    <row r="319" spans="1:10" x14ac:dyDescent="0.35">
      <c r="A319" s="11">
        <v>44396</v>
      </c>
      <c r="B319" s="10" t="s">
        <v>40</v>
      </c>
      <c r="C319">
        <v>51.1</v>
      </c>
      <c r="E319" s="10" t="s">
        <v>41</v>
      </c>
      <c r="F319" s="10" t="s">
        <v>28</v>
      </c>
      <c r="G319" s="10" t="s">
        <v>14</v>
      </c>
      <c r="H319">
        <v>7</v>
      </c>
      <c r="I319">
        <v>2</v>
      </c>
      <c r="J319">
        <v>-51.1</v>
      </c>
    </row>
    <row r="320" spans="1:10" x14ac:dyDescent="0.35">
      <c r="A320" s="11">
        <v>44396</v>
      </c>
      <c r="B320" s="10" t="s">
        <v>42</v>
      </c>
      <c r="C320">
        <v>35</v>
      </c>
      <c r="E320" s="10" t="s">
        <v>27</v>
      </c>
      <c r="F320" s="10" t="s">
        <v>28</v>
      </c>
      <c r="G320" s="10" t="s">
        <v>14</v>
      </c>
      <c r="H320">
        <v>7</v>
      </c>
      <c r="I320">
        <v>2</v>
      </c>
      <c r="J320">
        <v>-35</v>
      </c>
    </row>
    <row r="321" spans="1:10" x14ac:dyDescent="0.35">
      <c r="A321" s="11">
        <v>44396</v>
      </c>
      <c r="B321" s="10" t="s">
        <v>11</v>
      </c>
      <c r="C321">
        <v>5</v>
      </c>
      <c r="E321" s="10" t="s">
        <v>12</v>
      </c>
      <c r="F321" s="10" t="s">
        <v>13</v>
      </c>
      <c r="G321" s="10" t="s">
        <v>14</v>
      </c>
      <c r="H321">
        <v>7</v>
      </c>
      <c r="I321">
        <v>2</v>
      </c>
      <c r="J321">
        <v>-5</v>
      </c>
    </row>
    <row r="322" spans="1:10" x14ac:dyDescent="0.35">
      <c r="A322" s="11">
        <v>44397</v>
      </c>
      <c r="B322" s="10" t="s">
        <v>11</v>
      </c>
      <c r="C322">
        <v>5</v>
      </c>
      <c r="E322" s="10" t="s">
        <v>12</v>
      </c>
      <c r="F322" s="10" t="s">
        <v>13</v>
      </c>
      <c r="G322" s="10" t="s">
        <v>14</v>
      </c>
      <c r="H322">
        <v>7</v>
      </c>
      <c r="I322">
        <v>3</v>
      </c>
      <c r="J322">
        <v>-5</v>
      </c>
    </row>
    <row r="323" spans="1:10" x14ac:dyDescent="0.35">
      <c r="A323" s="11">
        <v>44398</v>
      </c>
      <c r="B323" s="10" t="s">
        <v>11</v>
      </c>
      <c r="C323">
        <v>5</v>
      </c>
      <c r="E323" s="10" t="s">
        <v>12</v>
      </c>
      <c r="F323" s="10" t="s">
        <v>13</v>
      </c>
      <c r="G323" s="10" t="s">
        <v>14</v>
      </c>
      <c r="H323">
        <v>7</v>
      </c>
      <c r="I323">
        <v>4</v>
      </c>
      <c r="J323">
        <v>-5</v>
      </c>
    </row>
    <row r="324" spans="1:10" x14ac:dyDescent="0.35">
      <c r="A324" s="11">
        <v>44398</v>
      </c>
      <c r="B324" s="10" t="s">
        <v>21</v>
      </c>
      <c r="C324">
        <v>176</v>
      </c>
      <c r="E324" s="10" t="s">
        <v>22</v>
      </c>
      <c r="F324" s="10" t="s">
        <v>17</v>
      </c>
      <c r="G324" s="10" t="s">
        <v>14</v>
      </c>
      <c r="H324">
        <v>7</v>
      </c>
      <c r="I324">
        <v>4</v>
      </c>
      <c r="J324">
        <v>-176</v>
      </c>
    </row>
    <row r="325" spans="1:10" x14ac:dyDescent="0.35">
      <c r="A325" s="11">
        <v>44399</v>
      </c>
      <c r="B325" s="10" t="s">
        <v>43</v>
      </c>
      <c r="C325">
        <v>43.1</v>
      </c>
      <c r="E325" s="10" t="s">
        <v>32</v>
      </c>
      <c r="F325" s="10" t="s">
        <v>13</v>
      </c>
      <c r="G325" s="10" t="s">
        <v>14</v>
      </c>
      <c r="H325">
        <v>7</v>
      </c>
      <c r="I325">
        <v>5</v>
      </c>
      <c r="J325">
        <v>-43.1</v>
      </c>
    </row>
    <row r="326" spans="1:10" x14ac:dyDescent="0.35">
      <c r="A326" s="11">
        <v>44400</v>
      </c>
      <c r="B326" s="10" t="s">
        <v>44</v>
      </c>
      <c r="C326">
        <v>18.2</v>
      </c>
      <c r="E326" s="10" t="s">
        <v>32</v>
      </c>
      <c r="F326" s="10" t="s">
        <v>13</v>
      </c>
      <c r="G326" s="10" t="s">
        <v>14</v>
      </c>
      <c r="H326">
        <v>7</v>
      </c>
      <c r="I326">
        <v>6</v>
      </c>
      <c r="J326">
        <v>-18.2</v>
      </c>
    </row>
    <row r="327" spans="1:10" x14ac:dyDescent="0.35">
      <c r="A327" s="11">
        <v>44401</v>
      </c>
      <c r="B327" s="10" t="s">
        <v>45</v>
      </c>
      <c r="C327">
        <v>55</v>
      </c>
      <c r="E327" s="10" t="s">
        <v>46</v>
      </c>
      <c r="F327" s="10" t="s">
        <v>47</v>
      </c>
      <c r="G327" s="10" t="s">
        <v>14</v>
      </c>
      <c r="H327">
        <v>7</v>
      </c>
      <c r="I327">
        <v>7</v>
      </c>
      <c r="J327">
        <v>-55</v>
      </c>
    </row>
    <row r="328" spans="1:10" x14ac:dyDescent="0.35">
      <c r="A328" s="11">
        <v>44401</v>
      </c>
      <c r="B328" s="10" t="s">
        <v>25</v>
      </c>
      <c r="C328">
        <v>68.800000000000011</v>
      </c>
      <c r="E328" s="10" t="s">
        <v>48</v>
      </c>
      <c r="F328" s="10" t="s">
        <v>20</v>
      </c>
      <c r="G328" s="10" t="s">
        <v>14</v>
      </c>
      <c r="H328">
        <v>7</v>
      </c>
      <c r="I328">
        <v>7</v>
      </c>
      <c r="J328">
        <v>-68.800000000000011</v>
      </c>
    </row>
    <row r="329" spans="1:10" x14ac:dyDescent="0.35">
      <c r="A329" s="11">
        <v>44401</v>
      </c>
      <c r="B329" s="10" t="s">
        <v>11</v>
      </c>
      <c r="C329">
        <v>5</v>
      </c>
      <c r="E329" s="10" t="s">
        <v>12</v>
      </c>
      <c r="F329" s="10" t="s">
        <v>13</v>
      </c>
      <c r="G329" s="10" t="s">
        <v>14</v>
      </c>
      <c r="H329">
        <v>7</v>
      </c>
      <c r="I329">
        <v>7</v>
      </c>
      <c r="J329">
        <v>-5</v>
      </c>
    </row>
    <row r="330" spans="1:10" x14ac:dyDescent="0.35">
      <c r="A330" s="11">
        <v>44402</v>
      </c>
      <c r="B330" s="10" t="s">
        <v>11</v>
      </c>
      <c r="C330">
        <v>5</v>
      </c>
      <c r="E330" s="10" t="s">
        <v>12</v>
      </c>
      <c r="F330" s="10" t="s">
        <v>13</v>
      </c>
      <c r="G330" s="10" t="s">
        <v>14</v>
      </c>
      <c r="H330">
        <v>7</v>
      </c>
      <c r="I330">
        <v>1</v>
      </c>
      <c r="J330">
        <v>-5</v>
      </c>
    </row>
    <row r="331" spans="1:10" x14ac:dyDescent="0.35">
      <c r="A331" s="11">
        <v>44403</v>
      </c>
      <c r="B331" s="10" t="s">
        <v>11</v>
      </c>
      <c r="C331">
        <v>5</v>
      </c>
      <c r="E331" s="10" t="s">
        <v>12</v>
      </c>
      <c r="F331" s="10" t="s">
        <v>13</v>
      </c>
      <c r="G331" s="10" t="s">
        <v>14</v>
      </c>
      <c r="H331">
        <v>7</v>
      </c>
      <c r="I331">
        <v>2</v>
      </c>
      <c r="J331">
        <v>-5</v>
      </c>
    </row>
    <row r="332" spans="1:10" x14ac:dyDescent="0.35">
      <c r="A332" s="11">
        <v>44404</v>
      </c>
      <c r="B332" s="10" t="s">
        <v>11</v>
      </c>
      <c r="C332">
        <v>5</v>
      </c>
      <c r="E332" s="10" t="s">
        <v>12</v>
      </c>
      <c r="F332" s="10" t="s">
        <v>13</v>
      </c>
      <c r="G332" s="10" t="s">
        <v>14</v>
      </c>
      <c r="H332">
        <v>7</v>
      </c>
      <c r="I332">
        <v>3</v>
      </c>
      <c r="J332">
        <v>-5</v>
      </c>
    </row>
    <row r="333" spans="1:10" x14ac:dyDescent="0.35">
      <c r="A333" s="11">
        <v>44405</v>
      </c>
      <c r="B333" s="10" t="s">
        <v>11</v>
      </c>
      <c r="C333">
        <v>5</v>
      </c>
      <c r="E333" s="10" t="s">
        <v>12</v>
      </c>
      <c r="F333" s="10" t="s">
        <v>13</v>
      </c>
      <c r="G333" s="10" t="s">
        <v>14</v>
      </c>
      <c r="H333">
        <v>7</v>
      </c>
      <c r="I333">
        <v>4</v>
      </c>
      <c r="J333">
        <v>-5</v>
      </c>
    </row>
    <row r="334" spans="1:10" x14ac:dyDescent="0.35">
      <c r="A334" s="11">
        <v>44405</v>
      </c>
      <c r="B334" s="10" t="s">
        <v>21</v>
      </c>
      <c r="C334">
        <v>193</v>
      </c>
      <c r="E334" s="10" t="s">
        <v>22</v>
      </c>
      <c r="F334" s="10" t="s">
        <v>17</v>
      </c>
      <c r="G334" s="10" t="s">
        <v>14</v>
      </c>
      <c r="H334">
        <v>7</v>
      </c>
      <c r="I334">
        <v>4</v>
      </c>
      <c r="J334">
        <v>-193</v>
      </c>
    </row>
    <row r="335" spans="1:10" x14ac:dyDescent="0.35">
      <c r="A335" s="11">
        <v>44406</v>
      </c>
      <c r="B335" s="10" t="s">
        <v>49</v>
      </c>
      <c r="C335">
        <v>130.80000000000001</v>
      </c>
      <c r="E335" s="10" t="s">
        <v>30</v>
      </c>
      <c r="F335" s="10" t="s">
        <v>28</v>
      </c>
      <c r="G335" s="10" t="s">
        <v>14</v>
      </c>
      <c r="H335">
        <v>7</v>
      </c>
      <c r="I335">
        <v>5</v>
      </c>
      <c r="J335">
        <v>-130.80000000000001</v>
      </c>
    </row>
    <row r="336" spans="1:10" x14ac:dyDescent="0.35">
      <c r="A336" s="11">
        <v>44406</v>
      </c>
      <c r="B336" s="10" t="s">
        <v>58</v>
      </c>
      <c r="C336">
        <v>181.39999999999998</v>
      </c>
      <c r="E336" s="10" t="s">
        <v>59</v>
      </c>
      <c r="F336" s="10" t="s">
        <v>28</v>
      </c>
      <c r="G336" s="10" t="s">
        <v>14</v>
      </c>
      <c r="H336">
        <v>7</v>
      </c>
      <c r="I336">
        <v>5</v>
      </c>
      <c r="J336">
        <v>-181.39999999999998</v>
      </c>
    </row>
    <row r="337" spans="1:10" x14ac:dyDescent="0.35">
      <c r="A337" s="11">
        <v>44407</v>
      </c>
      <c r="B337" s="10" t="s">
        <v>29</v>
      </c>
      <c r="C337">
        <v>151.19999999999999</v>
      </c>
      <c r="E337" s="10" t="s">
        <v>30</v>
      </c>
      <c r="F337" s="10" t="s">
        <v>28</v>
      </c>
      <c r="G337" s="10" t="s">
        <v>14</v>
      </c>
      <c r="H337">
        <v>7</v>
      </c>
      <c r="I337">
        <v>6</v>
      </c>
      <c r="J337">
        <v>-151.19999999999999</v>
      </c>
    </row>
    <row r="338" spans="1:10" x14ac:dyDescent="0.35">
      <c r="A338" s="11">
        <v>44407</v>
      </c>
      <c r="B338" s="10" t="s">
        <v>33</v>
      </c>
      <c r="C338">
        <v>29.300000000000004</v>
      </c>
      <c r="E338" s="10" t="s">
        <v>34</v>
      </c>
      <c r="F338" s="10" t="s">
        <v>20</v>
      </c>
      <c r="G338" s="10" t="s">
        <v>14</v>
      </c>
      <c r="H338">
        <v>7</v>
      </c>
      <c r="I338">
        <v>6</v>
      </c>
      <c r="J338">
        <v>-29.300000000000004</v>
      </c>
    </row>
    <row r="339" spans="1:10" x14ac:dyDescent="0.35">
      <c r="A339" s="11">
        <v>44407</v>
      </c>
      <c r="B339" s="10" t="s">
        <v>56</v>
      </c>
      <c r="C339">
        <v>15</v>
      </c>
      <c r="E339" s="10" t="s">
        <v>32</v>
      </c>
      <c r="F339" s="10" t="s">
        <v>13</v>
      </c>
      <c r="G339" s="10" t="s">
        <v>14</v>
      </c>
      <c r="H339">
        <v>7</v>
      </c>
      <c r="I339">
        <v>6</v>
      </c>
      <c r="J339">
        <v>-15</v>
      </c>
    </row>
    <row r="340" spans="1:10" x14ac:dyDescent="0.35">
      <c r="A340" s="11">
        <v>44408</v>
      </c>
      <c r="B340" s="10" t="s">
        <v>11</v>
      </c>
      <c r="C340">
        <v>5</v>
      </c>
      <c r="E340" s="10" t="s">
        <v>12</v>
      </c>
      <c r="F340" s="10" t="s">
        <v>13</v>
      </c>
      <c r="G340" s="10" t="s">
        <v>14</v>
      </c>
      <c r="H340">
        <v>7</v>
      </c>
      <c r="I340">
        <v>7</v>
      </c>
      <c r="J340">
        <v>-5</v>
      </c>
    </row>
    <row r="341" spans="1:10" x14ac:dyDescent="0.35">
      <c r="A341" s="11">
        <v>44410</v>
      </c>
      <c r="B341" s="10" t="s">
        <v>11</v>
      </c>
      <c r="C341">
        <v>5</v>
      </c>
      <c r="E341" s="10" t="s">
        <v>12</v>
      </c>
      <c r="F341" s="10" t="s">
        <v>13</v>
      </c>
      <c r="G341" s="10" t="s">
        <v>14</v>
      </c>
      <c r="H341">
        <v>8</v>
      </c>
      <c r="I341">
        <v>2</v>
      </c>
      <c r="J341">
        <v>-5</v>
      </c>
    </row>
    <row r="342" spans="1:10" x14ac:dyDescent="0.35">
      <c r="A342" s="11">
        <v>44410</v>
      </c>
      <c r="B342" s="10" t="s">
        <v>7</v>
      </c>
      <c r="D342">
        <v>5000</v>
      </c>
      <c r="E342" s="10" t="s">
        <v>8</v>
      </c>
      <c r="F342" s="10" t="s">
        <v>9</v>
      </c>
      <c r="G342" s="10" t="s">
        <v>10</v>
      </c>
      <c r="H342">
        <v>8</v>
      </c>
      <c r="I342">
        <v>2</v>
      </c>
      <c r="J342">
        <v>5000</v>
      </c>
    </row>
    <row r="343" spans="1:10" x14ac:dyDescent="0.35">
      <c r="A343" s="11">
        <v>44411</v>
      </c>
      <c r="B343" s="10" t="s">
        <v>11</v>
      </c>
      <c r="C343">
        <v>5</v>
      </c>
      <c r="E343" s="10" t="s">
        <v>12</v>
      </c>
      <c r="F343" s="10" t="s">
        <v>13</v>
      </c>
      <c r="G343" s="10" t="s">
        <v>14</v>
      </c>
      <c r="H343">
        <v>8</v>
      </c>
      <c r="I343">
        <v>3</v>
      </c>
      <c r="J343">
        <v>-5</v>
      </c>
    </row>
    <row r="344" spans="1:10" x14ac:dyDescent="0.35">
      <c r="A344" s="11">
        <v>44413</v>
      </c>
      <c r="B344" s="10" t="s">
        <v>15</v>
      </c>
      <c r="C344">
        <v>900</v>
      </c>
      <c r="E344" s="10" t="s">
        <v>16</v>
      </c>
      <c r="F344" s="10" t="s">
        <v>17</v>
      </c>
      <c r="G344" s="10" t="s">
        <v>14</v>
      </c>
      <c r="H344">
        <v>8</v>
      </c>
      <c r="I344">
        <v>5</v>
      </c>
      <c r="J344">
        <v>-900</v>
      </c>
    </row>
    <row r="345" spans="1:10" x14ac:dyDescent="0.35">
      <c r="A345" s="11">
        <v>44413</v>
      </c>
      <c r="B345" s="10" t="s">
        <v>18</v>
      </c>
      <c r="C345">
        <v>150</v>
      </c>
      <c r="E345" s="10" t="s">
        <v>19</v>
      </c>
      <c r="F345" s="10" t="s">
        <v>20</v>
      </c>
      <c r="G345" s="10" t="s">
        <v>14</v>
      </c>
      <c r="H345">
        <v>8</v>
      </c>
      <c r="I345">
        <v>5</v>
      </c>
      <c r="J345">
        <v>-150</v>
      </c>
    </row>
    <row r="346" spans="1:10" x14ac:dyDescent="0.35">
      <c r="A346" s="11">
        <v>44413</v>
      </c>
      <c r="B346" s="10" t="s">
        <v>11</v>
      </c>
      <c r="C346">
        <v>5</v>
      </c>
      <c r="E346" s="10" t="s">
        <v>12</v>
      </c>
      <c r="F346" s="10" t="s">
        <v>13</v>
      </c>
      <c r="G346" s="10" t="s">
        <v>14</v>
      </c>
      <c r="H346">
        <v>8</v>
      </c>
      <c r="I346">
        <v>5</v>
      </c>
      <c r="J346">
        <v>-5</v>
      </c>
    </row>
    <row r="347" spans="1:10" x14ac:dyDescent="0.35">
      <c r="A347" s="11">
        <v>44413</v>
      </c>
      <c r="B347" s="10" t="s">
        <v>11</v>
      </c>
      <c r="C347">
        <v>5</v>
      </c>
      <c r="E347" s="10" t="s">
        <v>12</v>
      </c>
      <c r="F347" s="10" t="s">
        <v>13</v>
      </c>
      <c r="G347" s="10" t="s">
        <v>14</v>
      </c>
      <c r="H347">
        <v>8</v>
      </c>
      <c r="I347">
        <v>5</v>
      </c>
      <c r="J347">
        <v>-5</v>
      </c>
    </row>
    <row r="348" spans="1:10" x14ac:dyDescent="0.35">
      <c r="A348" s="11">
        <v>44414</v>
      </c>
      <c r="B348" s="10" t="s">
        <v>11</v>
      </c>
      <c r="C348">
        <v>5</v>
      </c>
      <c r="E348" s="10" t="s">
        <v>12</v>
      </c>
      <c r="F348" s="10" t="s">
        <v>13</v>
      </c>
      <c r="G348" s="10" t="s">
        <v>14</v>
      </c>
      <c r="H348">
        <v>8</v>
      </c>
      <c r="I348">
        <v>6</v>
      </c>
      <c r="J348">
        <v>-5</v>
      </c>
    </row>
    <row r="349" spans="1:10" x14ac:dyDescent="0.35">
      <c r="A349" s="11">
        <v>44415</v>
      </c>
      <c r="B349" s="10" t="s">
        <v>11</v>
      </c>
      <c r="C349">
        <v>5</v>
      </c>
      <c r="E349" s="10" t="s">
        <v>12</v>
      </c>
      <c r="F349" s="10" t="s">
        <v>13</v>
      </c>
      <c r="G349" s="10" t="s">
        <v>14</v>
      </c>
      <c r="H349">
        <v>8</v>
      </c>
      <c r="I349">
        <v>7</v>
      </c>
      <c r="J349">
        <v>-5</v>
      </c>
    </row>
    <row r="350" spans="1:10" x14ac:dyDescent="0.35">
      <c r="A350" s="11">
        <v>44415</v>
      </c>
      <c r="B350" s="10" t="s">
        <v>21</v>
      </c>
      <c r="C350">
        <v>137</v>
      </c>
      <c r="E350" s="10" t="s">
        <v>22</v>
      </c>
      <c r="F350" s="10" t="s">
        <v>17</v>
      </c>
      <c r="G350" s="10" t="s">
        <v>14</v>
      </c>
      <c r="H350">
        <v>8</v>
      </c>
      <c r="I350">
        <v>7</v>
      </c>
      <c r="J350">
        <v>-137</v>
      </c>
    </row>
    <row r="351" spans="1:10" x14ac:dyDescent="0.35">
      <c r="A351" s="11">
        <v>44418</v>
      </c>
      <c r="B351" s="10" t="s">
        <v>23</v>
      </c>
      <c r="C351">
        <v>57</v>
      </c>
      <c r="E351" s="10" t="s">
        <v>24</v>
      </c>
      <c r="F351" s="10" t="s">
        <v>17</v>
      </c>
      <c r="G351" s="10" t="s">
        <v>14</v>
      </c>
      <c r="H351">
        <v>8</v>
      </c>
      <c r="I351">
        <v>3</v>
      </c>
      <c r="J351">
        <v>-57</v>
      </c>
    </row>
    <row r="352" spans="1:10" x14ac:dyDescent="0.35">
      <c r="A352" s="11">
        <v>44418</v>
      </c>
      <c r="B352" s="10" t="s">
        <v>11</v>
      </c>
      <c r="C352">
        <v>5</v>
      </c>
      <c r="E352" s="10" t="s">
        <v>12</v>
      </c>
      <c r="F352" s="10" t="s">
        <v>13</v>
      </c>
      <c r="G352" s="10" t="s">
        <v>14</v>
      </c>
      <c r="H352">
        <v>8</v>
      </c>
      <c r="I352">
        <v>3</v>
      </c>
      <c r="J352">
        <v>-5</v>
      </c>
    </row>
    <row r="353" spans="1:10" x14ac:dyDescent="0.35">
      <c r="A353" s="11">
        <v>44419</v>
      </c>
      <c r="B353" s="10" t="s">
        <v>11</v>
      </c>
      <c r="C353">
        <v>5</v>
      </c>
      <c r="E353" s="10" t="s">
        <v>12</v>
      </c>
      <c r="F353" s="10" t="s">
        <v>13</v>
      </c>
      <c r="G353" s="10" t="s">
        <v>14</v>
      </c>
      <c r="H353">
        <v>8</v>
      </c>
      <c r="I353">
        <v>4</v>
      </c>
      <c r="J353">
        <v>-5</v>
      </c>
    </row>
    <row r="354" spans="1:10" x14ac:dyDescent="0.35">
      <c r="A354" s="11">
        <v>44420</v>
      </c>
      <c r="B354" s="10" t="s">
        <v>25</v>
      </c>
      <c r="C354">
        <v>84.199999999999989</v>
      </c>
      <c r="E354" s="10" t="s">
        <v>48</v>
      </c>
      <c r="F354" s="10" t="s">
        <v>20</v>
      </c>
      <c r="G354" s="10" t="s">
        <v>14</v>
      </c>
      <c r="H354">
        <v>8</v>
      </c>
      <c r="I354">
        <v>5</v>
      </c>
      <c r="J354">
        <v>-84.199999999999989</v>
      </c>
    </row>
    <row r="355" spans="1:10" x14ac:dyDescent="0.35">
      <c r="A355" s="11">
        <v>44420</v>
      </c>
      <c r="B355" s="10" t="s">
        <v>11</v>
      </c>
      <c r="C355">
        <v>5</v>
      </c>
      <c r="E355" s="10" t="s">
        <v>12</v>
      </c>
      <c r="F355" s="10" t="s">
        <v>13</v>
      </c>
      <c r="G355" s="10" t="s">
        <v>14</v>
      </c>
      <c r="H355">
        <v>8</v>
      </c>
      <c r="I355">
        <v>5</v>
      </c>
      <c r="J355">
        <v>-5</v>
      </c>
    </row>
    <row r="356" spans="1:10" x14ac:dyDescent="0.35">
      <c r="A356" s="11">
        <v>44421</v>
      </c>
      <c r="B356" s="10" t="s">
        <v>11</v>
      </c>
      <c r="C356">
        <v>5</v>
      </c>
      <c r="E356" s="10" t="s">
        <v>12</v>
      </c>
      <c r="F356" s="10" t="s">
        <v>13</v>
      </c>
      <c r="G356" s="10" t="s">
        <v>14</v>
      </c>
      <c r="H356">
        <v>8</v>
      </c>
      <c r="I356">
        <v>6</v>
      </c>
      <c r="J356">
        <v>-5</v>
      </c>
    </row>
    <row r="357" spans="1:10" x14ac:dyDescent="0.35">
      <c r="A357" s="11">
        <v>44422</v>
      </c>
      <c r="B357" s="10" t="s">
        <v>21</v>
      </c>
      <c r="C357">
        <v>142.1</v>
      </c>
      <c r="E357" s="10" t="s">
        <v>22</v>
      </c>
      <c r="F357" s="10" t="s">
        <v>17</v>
      </c>
      <c r="G357" s="10" t="s">
        <v>14</v>
      </c>
      <c r="H357">
        <v>8</v>
      </c>
      <c r="I357">
        <v>7</v>
      </c>
      <c r="J357">
        <v>-142.1</v>
      </c>
    </row>
    <row r="358" spans="1:10" x14ac:dyDescent="0.35">
      <c r="A358" s="11">
        <v>44422</v>
      </c>
      <c r="B358" s="10" t="s">
        <v>11</v>
      </c>
      <c r="C358">
        <v>5</v>
      </c>
      <c r="E358" s="10" t="s">
        <v>12</v>
      </c>
      <c r="F358" s="10" t="s">
        <v>13</v>
      </c>
      <c r="G358" s="10" t="s">
        <v>14</v>
      </c>
      <c r="H358">
        <v>8</v>
      </c>
      <c r="I358">
        <v>7</v>
      </c>
      <c r="J358">
        <v>-5</v>
      </c>
    </row>
    <row r="359" spans="1:10" x14ac:dyDescent="0.35">
      <c r="A359" s="11">
        <v>44423</v>
      </c>
      <c r="B359" s="10" t="s">
        <v>11</v>
      </c>
      <c r="C359">
        <v>5</v>
      </c>
      <c r="E359" s="10" t="s">
        <v>12</v>
      </c>
      <c r="F359" s="10" t="s">
        <v>13</v>
      </c>
      <c r="G359" s="10" t="s">
        <v>14</v>
      </c>
      <c r="H359">
        <v>8</v>
      </c>
      <c r="I359">
        <v>1</v>
      </c>
      <c r="J359">
        <v>-5</v>
      </c>
    </row>
    <row r="360" spans="1:10" x14ac:dyDescent="0.35">
      <c r="A360" s="11">
        <v>44423</v>
      </c>
      <c r="B360" s="10" t="s">
        <v>26</v>
      </c>
      <c r="C360">
        <v>46.8</v>
      </c>
      <c r="E360" s="10" t="s">
        <v>27</v>
      </c>
      <c r="F360" s="10" t="s">
        <v>28</v>
      </c>
      <c r="G360" s="10" t="s">
        <v>14</v>
      </c>
      <c r="H360">
        <v>8</v>
      </c>
      <c r="I360">
        <v>1</v>
      </c>
      <c r="J360">
        <v>-46.8</v>
      </c>
    </row>
    <row r="361" spans="1:10" x14ac:dyDescent="0.35">
      <c r="A361" s="11">
        <v>44423</v>
      </c>
      <c r="B361" s="10" t="s">
        <v>29</v>
      </c>
      <c r="C361">
        <v>104.70000000000002</v>
      </c>
      <c r="E361" s="10" t="s">
        <v>30</v>
      </c>
      <c r="F361" s="10" t="s">
        <v>28</v>
      </c>
      <c r="G361" s="10" t="s">
        <v>14</v>
      </c>
      <c r="H361">
        <v>8</v>
      </c>
      <c r="I361">
        <v>1</v>
      </c>
      <c r="J361">
        <v>-104.70000000000002</v>
      </c>
    </row>
    <row r="362" spans="1:10" x14ac:dyDescent="0.35">
      <c r="A362" s="11">
        <v>44423</v>
      </c>
      <c r="B362" s="10" t="s">
        <v>31</v>
      </c>
      <c r="C362">
        <v>59.1</v>
      </c>
      <c r="E362" s="10" t="s">
        <v>32</v>
      </c>
      <c r="F362" s="10" t="s">
        <v>13</v>
      </c>
      <c r="G362" s="10" t="s">
        <v>14</v>
      </c>
      <c r="H362">
        <v>8</v>
      </c>
      <c r="I362">
        <v>1</v>
      </c>
      <c r="J362">
        <v>-59.1</v>
      </c>
    </row>
    <row r="363" spans="1:10" x14ac:dyDescent="0.35">
      <c r="A363" s="11">
        <v>44424</v>
      </c>
      <c r="B363" s="10" t="s">
        <v>33</v>
      </c>
      <c r="C363">
        <v>35.1</v>
      </c>
      <c r="E363" s="10" t="s">
        <v>34</v>
      </c>
      <c r="F363" s="10" t="s">
        <v>20</v>
      </c>
      <c r="G363" s="10" t="s">
        <v>14</v>
      </c>
      <c r="H363">
        <v>8</v>
      </c>
      <c r="I363">
        <v>2</v>
      </c>
      <c r="J363">
        <v>-35.1</v>
      </c>
    </row>
    <row r="364" spans="1:10" x14ac:dyDescent="0.35">
      <c r="A364" s="11">
        <v>44425</v>
      </c>
      <c r="B364" s="10" t="s">
        <v>35</v>
      </c>
      <c r="D364">
        <v>800</v>
      </c>
      <c r="E364" s="10" t="s">
        <v>36</v>
      </c>
      <c r="F364" s="10" t="s">
        <v>37</v>
      </c>
      <c r="G364" s="10" t="s">
        <v>10</v>
      </c>
      <c r="H364">
        <v>8</v>
      </c>
      <c r="I364">
        <v>3</v>
      </c>
      <c r="J364">
        <v>800</v>
      </c>
    </row>
    <row r="365" spans="1:10" x14ac:dyDescent="0.35">
      <c r="A365" s="11">
        <v>44425</v>
      </c>
      <c r="B365" s="10" t="s">
        <v>11</v>
      </c>
      <c r="C365">
        <v>5</v>
      </c>
      <c r="E365" s="10" t="s">
        <v>12</v>
      </c>
      <c r="F365" s="10" t="s">
        <v>13</v>
      </c>
      <c r="G365" s="10" t="s">
        <v>14</v>
      </c>
      <c r="H365">
        <v>8</v>
      </c>
      <c r="I365">
        <v>3</v>
      </c>
      <c r="J365">
        <v>-5</v>
      </c>
    </row>
    <row r="366" spans="1:10" x14ac:dyDescent="0.35">
      <c r="A366" s="11">
        <v>44426</v>
      </c>
      <c r="B366" s="10" t="s">
        <v>11</v>
      </c>
      <c r="C366">
        <v>5</v>
      </c>
      <c r="E366" s="10" t="s">
        <v>12</v>
      </c>
      <c r="F366" s="10" t="s">
        <v>13</v>
      </c>
      <c r="G366" s="10" t="s">
        <v>14</v>
      </c>
      <c r="H366">
        <v>8</v>
      </c>
      <c r="I366">
        <v>4</v>
      </c>
      <c r="J366">
        <v>-5</v>
      </c>
    </row>
    <row r="367" spans="1:10" x14ac:dyDescent="0.35">
      <c r="A367" s="11">
        <v>44426</v>
      </c>
      <c r="B367" s="10" t="s">
        <v>39</v>
      </c>
      <c r="C367">
        <v>40</v>
      </c>
      <c r="E367" s="10" t="s">
        <v>39</v>
      </c>
      <c r="F367" s="10" t="s">
        <v>17</v>
      </c>
      <c r="G367" s="10" t="s">
        <v>14</v>
      </c>
      <c r="H367">
        <v>8</v>
      </c>
      <c r="I367">
        <v>4</v>
      </c>
      <c r="J367">
        <v>-40</v>
      </c>
    </row>
    <row r="368" spans="1:10" x14ac:dyDescent="0.35">
      <c r="A368" s="11">
        <v>44427</v>
      </c>
      <c r="B368" s="10" t="s">
        <v>40</v>
      </c>
      <c r="C368">
        <v>52.1</v>
      </c>
      <c r="E368" s="10" t="s">
        <v>41</v>
      </c>
      <c r="F368" s="10" t="s">
        <v>28</v>
      </c>
      <c r="G368" s="10" t="s">
        <v>14</v>
      </c>
      <c r="H368">
        <v>8</v>
      </c>
      <c r="I368">
        <v>5</v>
      </c>
      <c r="J368">
        <v>-52.1</v>
      </c>
    </row>
    <row r="369" spans="1:10" x14ac:dyDescent="0.35">
      <c r="A369" s="11">
        <v>44427</v>
      </c>
      <c r="B369" s="10" t="s">
        <v>42</v>
      </c>
      <c r="C369">
        <v>35</v>
      </c>
      <c r="E369" s="10" t="s">
        <v>27</v>
      </c>
      <c r="F369" s="10" t="s">
        <v>28</v>
      </c>
      <c r="G369" s="10" t="s">
        <v>14</v>
      </c>
      <c r="H369">
        <v>8</v>
      </c>
      <c r="I369">
        <v>5</v>
      </c>
      <c r="J369">
        <v>-35</v>
      </c>
    </row>
    <row r="370" spans="1:10" x14ac:dyDescent="0.35">
      <c r="A370" s="11">
        <v>44427</v>
      </c>
      <c r="B370" s="10" t="s">
        <v>11</v>
      </c>
      <c r="C370">
        <v>5</v>
      </c>
      <c r="E370" s="10" t="s">
        <v>12</v>
      </c>
      <c r="F370" s="10" t="s">
        <v>13</v>
      </c>
      <c r="G370" s="10" t="s">
        <v>14</v>
      </c>
      <c r="H370">
        <v>8</v>
      </c>
      <c r="I370">
        <v>5</v>
      </c>
      <c r="J370">
        <v>-5</v>
      </c>
    </row>
    <row r="371" spans="1:10" x14ac:dyDescent="0.35">
      <c r="A371" s="11">
        <v>44428</v>
      </c>
      <c r="B371" s="10" t="s">
        <v>11</v>
      </c>
      <c r="C371">
        <v>5</v>
      </c>
      <c r="E371" s="10" t="s">
        <v>12</v>
      </c>
      <c r="F371" s="10" t="s">
        <v>13</v>
      </c>
      <c r="G371" s="10" t="s">
        <v>14</v>
      </c>
      <c r="H371">
        <v>8</v>
      </c>
      <c r="I371">
        <v>6</v>
      </c>
      <c r="J371">
        <v>-5</v>
      </c>
    </row>
    <row r="372" spans="1:10" x14ac:dyDescent="0.35">
      <c r="A372" s="11">
        <v>44429</v>
      </c>
      <c r="B372" s="10" t="s">
        <v>11</v>
      </c>
      <c r="C372">
        <v>5</v>
      </c>
      <c r="E372" s="10" t="s">
        <v>12</v>
      </c>
      <c r="F372" s="10" t="s">
        <v>13</v>
      </c>
      <c r="G372" s="10" t="s">
        <v>14</v>
      </c>
      <c r="H372">
        <v>8</v>
      </c>
      <c r="I372">
        <v>7</v>
      </c>
      <c r="J372">
        <v>-5</v>
      </c>
    </row>
    <row r="373" spans="1:10" x14ac:dyDescent="0.35">
      <c r="A373" s="11">
        <v>44429</v>
      </c>
      <c r="B373" s="10" t="s">
        <v>21</v>
      </c>
      <c r="C373">
        <v>177</v>
      </c>
      <c r="E373" s="10" t="s">
        <v>22</v>
      </c>
      <c r="F373" s="10" t="s">
        <v>17</v>
      </c>
      <c r="G373" s="10" t="s">
        <v>14</v>
      </c>
      <c r="H373">
        <v>8</v>
      </c>
      <c r="I373">
        <v>7</v>
      </c>
      <c r="J373">
        <v>-177</v>
      </c>
    </row>
    <row r="374" spans="1:10" x14ac:dyDescent="0.35">
      <c r="A374" s="11">
        <v>44430</v>
      </c>
      <c r="B374" s="10" t="s">
        <v>43</v>
      </c>
      <c r="C374">
        <v>44.2</v>
      </c>
      <c r="E374" s="10" t="s">
        <v>32</v>
      </c>
      <c r="F374" s="10" t="s">
        <v>13</v>
      </c>
      <c r="G374" s="10" t="s">
        <v>14</v>
      </c>
      <c r="H374">
        <v>8</v>
      </c>
      <c r="I374">
        <v>1</v>
      </c>
      <c r="J374">
        <v>-44.2</v>
      </c>
    </row>
    <row r="375" spans="1:10" x14ac:dyDescent="0.35">
      <c r="A375" s="11">
        <v>44431</v>
      </c>
      <c r="B375" s="10" t="s">
        <v>44</v>
      </c>
      <c r="C375">
        <v>19.2</v>
      </c>
      <c r="E375" s="10" t="s">
        <v>32</v>
      </c>
      <c r="F375" s="10" t="s">
        <v>13</v>
      </c>
      <c r="G375" s="10" t="s">
        <v>14</v>
      </c>
      <c r="H375">
        <v>8</v>
      </c>
      <c r="I375">
        <v>2</v>
      </c>
      <c r="J375">
        <v>-19.2</v>
      </c>
    </row>
    <row r="376" spans="1:10" x14ac:dyDescent="0.35">
      <c r="A376" s="11">
        <v>44432</v>
      </c>
      <c r="B376" s="10" t="s">
        <v>45</v>
      </c>
      <c r="C376">
        <v>55</v>
      </c>
      <c r="E376" s="10" t="s">
        <v>46</v>
      </c>
      <c r="F376" s="10" t="s">
        <v>47</v>
      </c>
      <c r="G376" s="10" t="s">
        <v>14</v>
      </c>
      <c r="H376">
        <v>8</v>
      </c>
      <c r="I376">
        <v>3</v>
      </c>
      <c r="J376">
        <v>-55</v>
      </c>
    </row>
    <row r="377" spans="1:10" x14ac:dyDescent="0.35">
      <c r="A377" s="11">
        <v>44432</v>
      </c>
      <c r="B377" s="10" t="s">
        <v>25</v>
      </c>
      <c r="C377">
        <v>69.700000000000017</v>
      </c>
      <c r="E377" s="10" t="s">
        <v>48</v>
      </c>
      <c r="F377" s="10" t="s">
        <v>20</v>
      </c>
      <c r="G377" s="10" t="s">
        <v>14</v>
      </c>
      <c r="H377">
        <v>8</v>
      </c>
      <c r="I377">
        <v>3</v>
      </c>
      <c r="J377">
        <v>-69.700000000000017</v>
      </c>
    </row>
    <row r="378" spans="1:10" x14ac:dyDescent="0.35">
      <c r="A378" s="11">
        <v>44432</v>
      </c>
      <c r="B378" s="10" t="s">
        <v>11</v>
      </c>
      <c r="C378">
        <v>5</v>
      </c>
      <c r="E378" s="10" t="s">
        <v>12</v>
      </c>
      <c r="F378" s="10" t="s">
        <v>13</v>
      </c>
      <c r="G378" s="10" t="s">
        <v>14</v>
      </c>
      <c r="H378">
        <v>8</v>
      </c>
      <c r="I378">
        <v>3</v>
      </c>
      <c r="J378">
        <v>-5</v>
      </c>
    </row>
    <row r="379" spans="1:10" x14ac:dyDescent="0.35">
      <c r="A379" s="11">
        <v>44433</v>
      </c>
      <c r="B379" s="10" t="s">
        <v>11</v>
      </c>
      <c r="C379">
        <v>5</v>
      </c>
      <c r="E379" s="10" t="s">
        <v>12</v>
      </c>
      <c r="F379" s="10" t="s">
        <v>13</v>
      </c>
      <c r="G379" s="10" t="s">
        <v>14</v>
      </c>
      <c r="H379">
        <v>8</v>
      </c>
      <c r="I379">
        <v>4</v>
      </c>
      <c r="J379">
        <v>-5</v>
      </c>
    </row>
    <row r="380" spans="1:10" x14ac:dyDescent="0.35">
      <c r="A380" s="11">
        <v>44434</v>
      </c>
      <c r="B380" s="10" t="s">
        <v>11</v>
      </c>
      <c r="C380">
        <v>5</v>
      </c>
      <c r="E380" s="10" t="s">
        <v>12</v>
      </c>
      <c r="F380" s="10" t="s">
        <v>13</v>
      </c>
      <c r="G380" s="10" t="s">
        <v>14</v>
      </c>
      <c r="H380">
        <v>8</v>
      </c>
      <c r="I380">
        <v>5</v>
      </c>
      <c r="J380">
        <v>-5</v>
      </c>
    </row>
    <row r="381" spans="1:10" x14ac:dyDescent="0.35">
      <c r="A381" s="11">
        <v>44435</v>
      </c>
      <c r="B381" s="10" t="s">
        <v>11</v>
      </c>
      <c r="C381">
        <v>5</v>
      </c>
      <c r="E381" s="10" t="s">
        <v>12</v>
      </c>
      <c r="F381" s="10" t="s">
        <v>13</v>
      </c>
      <c r="G381" s="10" t="s">
        <v>14</v>
      </c>
      <c r="H381">
        <v>8</v>
      </c>
      <c r="I381">
        <v>6</v>
      </c>
      <c r="J381">
        <v>-5</v>
      </c>
    </row>
    <row r="382" spans="1:10" x14ac:dyDescent="0.35">
      <c r="A382" s="11">
        <v>44436</v>
      </c>
      <c r="B382" s="10" t="s">
        <v>11</v>
      </c>
      <c r="C382">
        <v>5</v>
      </c>
      <c r="E382" s="10" t="s">
        <v>12</v>
      </c>
      <c r="F382" s="10" t="s">
        <v>13</v>
      </c>
      <c r="G382" s="10" t="s">
        <v>14</v>
      </c>
      <c r="H382">
        <v>8</v>
      </c>
      <c r="I382">
        <v>7</v>
      </c>
      <c r="J382">
        <v>-5</v>
      </c>
    </row>
    <row r="383" spans="1:10" x14ac:dyDescent="0.35">
      <c r="A383" s="11">
        <v>44436</v>
      </c>
      <c r="B383" s="10" t="s">
        <v>21</v>
      </c>
      <c r="C383">
        <v>117</v>
      </c>
      <c r="E383" s="10" t="s">
        <v>22</v>
      </c>
      <c r="F383" s="10" t="s">
        <v>17</v>
      </c>
      <c r="G383" s="10" t="s">
        <v>14</v>
      </c>
      <c r="H383">
        <v>8</v>
      </c>
      <c r="I383">
        <v>7</v>
      </c>
      <c r="J383">
        <v>-117</v>
      </c>
    </row>
    <row r="384" spans="1:10" x14ac:dyDescent="0.35">
      <c r="A384" s="11">
        <v>44437</v>
      </c>
      <c r="B384" s="10" t="s">
        <v>49</v>
      </c>
      <c r="C384">
        <v>131.9</v>
      </c>
      <c r="E384" s="10" t="s">
        <v>30</v>
      </c>
      <c r="F384" s="10" t="s">
        <v>28</v>
      </c>
      <c r="G384" s="10" t="s">
        <v>14</v>
      </c>
      <c r="H384">
        <v>8</v>
      </c>
      <c r="I384">
        <v>1</v>
      </c>
      <c r="J384">
        <v>-131.9</v>
      </c>
    </row>
    <row r="385" spans="1:10" x14ac:dyDescent="0.35">
      <c r="A385" s="11">
        <v>44437</v>
      </c>
      <c r="B385" s="10" t="s">
        <v>50</v>
      </c>
      <c r="C385">
        <v>182.39999999999998</v>
      </c>
      <c r="E385" s="10" t="s">
        <v>27</v>
      </c>
      <c r="F385" s="10" t="s">
        <v>28</v>
      </c>
      <c r="G385" s="10" t="s">
        <v>14</v>
      </c>
      <c r="H385">
        <v>8</v>
      </c>
      <c r="I385">
        <v>1</v>
      </c>
      <c r="J385">
        <v>-182.39999999999998</v>
      </c>
    </row>
    <row r="386" spans="1:10" x14ac:dyDescent="0.35">
      <c r="A386" s="11">
        <v>44438</v>
      </c>
      <c r="B386" s="10" t="s">
        <v>29</v>
      </c>
      <c r="C386">
        <v>152.29999999999998</v>
      </c>
      <c r="E386" s="10" t="s">
        <v>30</v>
      </c>
      <c r="F386" s="10" t="s">
        <v>28</v>
      </c>
      <c r="G386" s="10" t="s">
        <v>14</v>
      </c>
      <c r="H386">
        <v>8</v>
      </c>
      <c r="I386">
        <v>2</v>
      </c>
      <c r="J386">
        <v>-152.29999999999998</v>
      </c>
    </row>
    <row r="387" spans="1:10" x14ac:dyDescent="0.35">
      <c r="A387" s="11">
        <v>44438</v>
      </c>
      <c r="B387" s="10" t="s">
        <v>33</v>
      </c>
      <c r="C387">
        <v>30.300000000000004</v>
      </c>
      <c r="E387" s="10" t="s">
        <v>34</v>
      </c>
      <c r="F387" s="10" t="s">
        <v>20</v>
      </c>
      <c r="G387" s="10" t="s">
        <v>14</v>
      </c>
      <c r="H387">
        <v>8</v>
      </c>
      <c r="I387">
        <v>2</v>
      </c>
      <c r="J387">
        <v>-30.300000000000004</v>
      </c>
    </row>
    <row r="388" spans="1:10" x14ac:dyDescent="0.35">
      <c r="A388" s="11">
        <v>44438</v>
      </c>
      <c r="B388" s="10" t="s">
        <v>56</v>
      </c>
      <c r="C388">
        <v>15</v>
      </c>
      <c r="E388" s="10" t="s">
        <v>32</v>
      </c>
      <c r="F388" s="10" t="s">
        <v>13</v>
      </c>
      <c r="G388" s="10" t="s">
        <v>14</v>
      </c>
      <c r="H388">
        <v>8</v>
      </c>
      <c r="I388">
        <v>2</v>
      </c>
      <c r="J388">
        <v>-15</v>
      </c>
    </row>
    <row r="389" spans="1:10" x14ac:dyDescent="0.35">
      <c r="A389" s="11">
        <v>44439</v>
      </c>
      <c r="B389" s="10" t="s">
        <v>11</v>
      </c>
      <c r="C389">
        <v>5</v>
      </c>
      <c r="E389" s="10" t="s">
        <v>12</v>
      </c>
      <c r="F389" s="10" t="s">
        <v>13</v>
      </c>
      <c r="G389" s="10" t="s">
        <v>14</v>
      </c>
      <c r="H389">
        <v>8</v>
      </c>
      <c r="I389">
        <v>3</v>
      </c>
      <c r="J389">
        <v>-5</v>
      </c>
    </row>
    <row r="390" spans="1:10" x14ac:dyDescent="0.35">
      <c r="A390" s="11">
        <v>44441</v>
      </c>
      <c r="B390" s="10" t="s">
        <v>11</v>
      </c>
      <c r="C390">
        <v>5</v>
      </c>
      <c r="E390" s="10" t="s">
        <v>12</v>
      </c>
      <c r="F390" s="10" t="s">
        <v>13</v>
      </c>
      <c r="G390" s="10" t="s">
        <v>14</v>
      </c>
      <c r="H390">
        <v>9</v>
      </c>
      <c r="I390">
        <v>5</v>
      </c>
      <c r="J390">
        <v>-5</v>
      </c>
    </row>
    <row r="391" spans="1:10" x14ac:dyDescent="0.35">
      <c r="A391" s="11">
        <v>44441</v>
      </c>
      <c r="B391" s="10" t="s">
        <v>7</v>
      </c>
      <c r="D391">
        <v>5000</v>
      </c>
      <c r="E391" s="10" t="s">
        <v>8</v>
      </c>
      <c r="F391" s="10" t="s">
        <v>9</v>
      </c>
      <c r="G391" s="10" t="s">
        <v>10</v>
      </c>
      <c r="H391">
        <v>9</v>
      </c>
      <c r="I391">
        <v>5</v>
      </c>
      <c r="J391">
        <v>5000</v>
      </c>
    </row>
    <row r="392" spans="1:10" x14ac:dyDescent="0.35">
      <c r="A392" s="11">
        <v>44442</v>
      </c>
      <c r="B392" s="10" t="s">
        <v>11</v>
      </c>
      <c r="C392">
        <v>5</v>
      </c>
      <c r="E392" s="10" t="s">
        <v>12</v>
      </c>
      <c r="F392" s="10" t="s">
        <v>13</v>
      </c>
      <c r="G392" s="10" t="s">
        <v>14</v>
      </c>
      <c r="H392">
        <v>9</v>
      </c>
      <c r="I392">
        <v>6</v>
      </c>
      <c r="J392">
        <v>-5</v>
      </c>
    </row>
    <row r="393" spans="1:10" x14ac:dyDescent="0.35">
      <c r="A393" s="11">
        <v>44444</v>
      </c>
      <c r="B393" s="10" t="s">
        <v>15</v>
      </c>
      <c r="C393">
        <v>900</v>
      </c>
      <c r="E393" s="10" t="s">
        <v>16</v>
      </c>
      <c r="F393" s="10" t="s">
        <v>17</v>
      </c>
      <c r="G393" s="10" t="s">
        <v>14</v>
      </c>
      <c r="H393">
        <v>9</v>
      </c>
      <c r="I393">
        <v>1</v>
      </c>
      <c r="J393">
        <v>-900</v>
      </c>
    </row>
    <row r="394" spans="1:10" x14ac:dyDescent="0.35">
      <c r="A394" s="11">
        <v>44444</v>
      </c>
      <c r="B394" s="10" t="s">
        <v>18</v>
      </c>
      <c r="C394">
        <v>150</v>
      </c>
      <c r="E394" s="10" t="s">
        <v>19</v>
      </c>
      <c r="F394" s="10" t="s">
        <v>20</v>
      </c>
      <c r="G394" s="10" t="s">
        <v>14</v>
      </c>
      <c r="H394">
        <v>9</v>
      </c>
      <c r="I394">
        <v>1</v>
      </c>
      <c r="J394">
        <v>-150</v>
      </c>
    </row>
    <row r="395" spans="1:10" x14ac:dyDescent="0.35">
      <c r="A395" s="11">
        <v>44444</v>
      </c>
      <c r="B395" s="10" t="s">
        <v>11</v>
      </c>
      <c r="C395">
        <v>5</v>
      </c>
      <c r="E395" s="10" t="s">
        <v>12</v>
      </c>
      <c r="F395" s="10" t="s">
        <v>13</v>
      </c>
      <c r="G395" s="10" t="s">
        <v>14</v>
      </c>
      <c r="H395">
        <v>9</v>
      </c>
      <c r="I395">
        <v>1</v>
      </c>
      <c r="J395">
        <v>-5</v>
      </c>
    </row>
    <row r="396" spans="1:10" x14ac:dyDescent="0.35">
      <c r="A396" s="11">
        <v>44444</v>
      </c>
      <c r="B396" s="10" t="s">
        <v>11</v>
      </c>
      <c r="C396">
        <v>5</v>
      </c>
      <c r="E396" s="10" t="s">
        <v>12</v>
      </c>
      <c r="F396" s="10" t="s">
        <v>13</v>
      </c>
      <c r="G396" s="10" t="s">
        <v>14</v>
      </c>
      <c r="H396">
        <v>9</v>
      </c>
      <c r="I396">
        <v>1</v>
      </c>
      <c r="J396">
        <v>-5</v>
      </c>
    </row>
    <row r="397" spans="1:10" x14ac:dyDescent="0.35">
      <c r="A397" s="11">
        <v>44445</v>
      </c>
      <c r="B397" s="10" t="s">
        <v>11</v>
      </c>
      <c r="C397">
        <v>5</v>
      </c>
      <c r="E397" s="10" t="s">
        <v>12</v>
      </c>
      <c r="F397" s="10" t="s">
        <v>13</v>
      </c>
      <c r="G397" s="10" t="s">
        <v>14</v>
      </c>
      <c r="H397">
        <v>9</v>
      </c>
      <c r="I397">
        <v>2</v>
      </c>
      <c r="J397">
        <v>-5</v>
      </c>
    </row>
    <row r="398" spans="1:10" x14ac:dyDescent="0.35">
      <c r="A398" s="11">
        <v>44446</v>
      </c>
      <c r="B398" s="10" t="s">
        <v>11</v>
      </c>
      <c r="C398">
        <v>5</v>
      </c>
      <c r="E398" s="10" t="s">
        <v>12</v>
      </c>
      <c r="F398" s="10" t="s">
        <v>13</v>
      </c>
      <c r="G398" s="10" t="s">
        <v>14</v>
      </c>
      <c r="H398">
        <v>9</v>
      </c>
      <c r="I398">
        <v>3</v>
      </c>
      <c r="J398">
        <v>-5</v>
      </c>
    </row>
    <row r="399" spans="1:10" x14ac:dyDescent="0.35">
      <c r="A399" s="11">
        <v>44446</v>
      </c>
      <c r="B399" s="10" t="s">
        <v>21</v>
      </c>
      <c r="C399">
        <v>163.39999999999998</v>
      </c>
      <c r="E399" s="10" t="s">
        <v>22</v>
      </c>
      <c r="F399" s="10" t="s">
        <v>17</v>
      </c>
      <c r="G399" s="10" t="s">
        <v>14</v>
      </c>
      <c r="H399">
        <v>9</v>
      </c>
      <c r="I399">
        <v>3</v>
      </c>
      <c r="J399">
        <v>-163.39999999999998</v>
      </c>
    </row>
    <row r="400" spans="1:10" x14ac:dyDescent="0.35">
      <c r="A400" s="11">
        <v>44449</v>
      </c>
      <c r="B400" s="10" t="s">
        <v>23</v>
      </c>
      <c r="C400">
        <v>58.1</v>
      </c>
      <c r="E400" s="10" t="s">
        <v>24</v>
      </c>
      <c r="F400" s="10" t="s">
        <v>17</v>
      </c>
      <c r="G400" s="10" t="s">
        <v>14</v>
      </c>
      <c r="H400">
        <v>9</v>
      </c>
      <c r="I400">
        <v>6</v>
      </c>
      <c r="J400">
        <v>-58.1</v>
      </c>
    </row>
    <row r="401" spans="1:10" x14ac:dyDescent="0.35">
      <c r="A401" s="11">
        <v>44449</v>
      </c>
      <c r="B401" s="10" t="s">
        <v>11</v>
      </c>
      <c r="C401">
        <v>5</v>
      </c>
      <c r="E401" s="10" t="s">
        <v>12</v>
      </c>
      <c r="F401" s="10" t="s">
        <v>13</v>
      </c>
      <c r="G401" s="10" t="s">
        <v>14</v>
      </c>
      <c r="H401">
        <v>9</v>
      </c>
      <c r="I401">
        <v>6</v>
      </c>
      <c r="J401">
        <v>-5</v>
      </c>
    </row>
    <row r="402" spans="1:10" x14ac:dyDescent="0.35">
      <c r="A402" s="11">
        <v>44450</v>
      </c>
      <c r="B402" s="10" t="s">
        <v>11</v>
      </c>
      <c r="C402">
        <v>5</v>
      </c>
      <c r="E402" s="10" t="s">
        <v>12</v>
      </c>
      <c r="F402" s="10" t="s">
        <v>13</v>
      </c>
      <c r="G402" s="10" t="s">
        <v>14</v>
      </c>
      <c r="H402">
        <v>9</v>
      </c>
      <c r="I402">
        <v>7</v>
      </c>
      <c r="J402">
        <v>-5</v>
      </c>
    </row>
    <row r="403" spans="1:10" x14ac:dyDescent="0.35">
      <c r="A403" s="11">
        <v>44451</v>
      </c>
      <c r="B403" s="10" t="s">
        <v>25</v>
      </c>
      <c r="C403">
        <v>85.299999999999983</v>
      </c>
      <c r="E403" s="10" t="s">
        <v>48</v>
      </c>
      <c r="F403" s="10" t="s">
        <v>20</v>
      </c>
      <c r="G403" s="10" t="s">
        <v>14</v>
      </c>
      <c r="H403">
        <v>9</v>
      </c>
      <c r="I403">
        <v>1</v>
      </c>
      <c r="J403">
        <v>-85.299999999999983</v>
      </c>
    </row>
    <row r="404" spans="1:10" x14ac:dyDescent="0.35">
      <c r="A404" s="11">
        <v>44451</v>
      </c>
      <c r="B404" s="10" t="s">
        <v>11</v>
      </c>
      <c r="C404">
        <v>5</v>
      </c>
      <c r="E404" s="10" t="s">
        <v>12</v>
      </c>
      <c r="F404" s="10" t="s">
        <v>13</v>
      </c>
      <c r="G404" s="10" t="s">
        <v>14</v>
      </c>
      <c r="H404">
        <v>9</v>
      </c>
      <c r="I404">
        <v>1</v>
      </c>
      <c r="J404">
        <v>-5</v>
      </c>
    </row>
    <row r="405" spans="1:10" x14ac:dyDescent="0.35">
      <c r="A405" s="11">
        <v>44452</v>
      </c>
      <c r="B405" s="10" t="s">
        <v>11</v>
      </c>
      <c r="C405">
        <v>5</v>
      </c>
      <c r="E405" s="10" t="s">
        <v>12</v>
      </c>
      <c r="F405" s="10" t="s">
        <v>13</v>
      </c>
      <c r="G405" s="10" t="s">
        <v>14</v>
      </c>
      <c r="H405">
        <v>9</v>
      </c>
      <c r="I405">
        <v>2</v>
      </c>
      <c r="J405">
        <v>-5</v>
      </c>
    </row>
    <row r="406" spans="1:10" x14ac:dyDescent="0.35">
      <c r="A406" s="11">
        <v>44453</v>
      </c>
      <c r="B406" s="10" t="s">
        <v>21</v>
      </c>
      <c r="C406">
        <v>143</v>
      </c>
      <c r="E406" s="10" t="s">
        <v>22</v>
      </c>
      <c r="F406" s="10" t="s">
        <v>17</v>
      </c>
      <c r="G406" s="10" t="s">
        <v>14</v>
      </c>
      <c r="H406">
        <v>9</v>
      </c>
      <c r="I406">
        <v>3</v>
      </c>
      <c r="J406">
        <v>-143</v>
      </c>
    </row>
    <row r="407" spans="1:10" x14ac:dyDescent="0.35">
      <c r="A407" s="11">
        <v>44453</v>
      </c>
      <c r="B407" s="10" t="s">
        <v>11</v>
      </c>
      <c r="C407">
        <v>5</v>
      </c>
      <c r="E407" s="10" t="s">
        <v>12</v>
      </c>
      <c r="F407" s="10" t="s">
        <v>13</v>
      </c>
      <c r="G407" s="10" t="s">
        <v>14</v>
      </c>
      <c r="H407">
        <v>9</v>
      </c>
      <c r="I407">
        <v>3</v>
      </c>
      <c r="J407">
        <v>-5</v>
      </c>
    </row>
    <row r="408" spans="1:10" x14ac:dyDescent="0.35">
      <c r="A408" s="11">
        <v>44454</v>
      </c>
      <c r="B408" s="10" t="s">
        <v>11</v>
      </c>
      <c r="C408">
        <v>5</v>
      </c>
      <c r="E408" s="10" t="s">
        <v>12</v>
      </c>
      <c r="F408" s="10" t="s">
        <v>13</v>
      </c>
      <c r="G408" s="10" t="s">
        <v>14</v>
      </c>
      <c r="H408">
        <v>9</v>
      </c>
      <c r="I408">
        <v>4</v>
      </c>
      <c r="J408">
        <v>-5</v>
      </c>
    </row>
    <row r="409" spans="1:10" x14ac:dyDescent="0.35">
      <c r="A409" s="11">
        <v>44454</v>
      </c>
      <c r="B409" s="10" t="s">
        <v>26</v>
      </c>
      <c r="C409">
        <v>47.8</v>
      </c>
      <c r="E409" s="10" t="s">
        <v>27</v>
      </c>
      <c r="F409" s="10" t="s">
        <v>28</v>
      </c>
      <c r="G409" s="10" t="s">
        <v>14</v>
      </c>
      <c r="H409">
        <v>9</v>
      </c>
      <c r="I409">
        <v>4</v>
      </c>
      <c r="J409">
        <v>-47.8</v>
      </c>
    </row>
    <row r="410" spans="1:10" x14ac:dyDescent="0.35">
      <c r="A410" s="11">
        <v>44454</v>
      </c>
      <c r="B410" s="10" t="s">
        <v>29</v>
      </c>
      <c r="C410">
        <v>105.80000000000001</v>
      </c>
      <c r="E410" s="10" t="s">
        <v>30</v>
      </c>
      <c r="F410" s="10" t="s">
        <v>28</v>
      </c>
      <c r="G410" s="10" t="s">
        <v>14</v>
      </c>
      <c r="H410">
        <v>9</v>
      </c>
      <c r="I410">
        <v>4</v>
      </c>
      <c r="J410">
        <v>-105.80000000000001</v>
      </c>
    </row>
    <row r="411" spans="1:10" x14ac:dyDescent="0.35">
      <c r="A411" s="11">
        <v>44454</v>
      </c>
      <c r="B411" s="10" t="s">
        <v>31</v>
      </c>
      <c r="C411">
        <v>60.1</v>
      </c>
      <c r="E411" s="10" t="s">
        <v>32</v>
      </c>
      <c r="F411" s="10" t="s">
        <v>13</v>
      </c>
      <c r="G411" s="10" t="s">
        <v>14</v>
      </c>
      <c r="H411">
        <v>9</v>
      </c>
      <c r="I411">
        <v>4</v>
      </c>
      <c r="J411">
        <v>-60.1</v>
      </c>
    </row>
    <row r="412" spans="1:10" x14ac:dyDescent="0.35">
      <c r="A412" s="11">
        <v>44455</v>
      </c>
      <c r="B412" s="10" t="s">
        <v>33</v>
      </c>
      <c r="C412">
        <v>36.200000000000003</v>
      </c>
      <c r="E412" s="10" t="s">
        <v>34</v>
      </c>
      <c r="F412" s="10" t="s">
        <v>20</v>
      </c>
      <c r="G412" s="10" t="s">
        <v>14</v>
      </c>
      <c r="H412">
        <v>9</v>
      </c>
      <c r="I412">
        <v>5</v>
      </c>
      <c r="J412">
        <v>-36.200000000000003</v>
      </c>
    </row>
    <row r="413" spans="1:10" x14ac:dyDescent="0.35">
      <c r="A413" s="11">
        <v>44456</v>
      </c>
      <c r="B413" s="10" t="s">
        <v>35</v>
      </c>
      <c r="D413">
        <v>100</v>
      </c>
      <c r="E413" s="10" t="s">
        <v>36</v>
      </c>
      <c r="F413" s="10" t="s">
        <v>37</v>
      </c>
      <c r="G413" s="10" t="s">
        <v>10</v>
      </c>
      <c r="H413">
        <v>9</v>
      </c>
      <c r="I413">
        <v>6</v>
      </c>
      <c r="J413">
        <v>100</v>
      </c>
    </row>
    <row r="414" spans="1:10" x14ac:dyDescent="0.35">
      <c r="A414" s="11">
        <v>44456</v>
      </c>
      <c r="B414" s="10" t="s">
        <v>11</v>
      </c>
      <c r="C414">
        <v>5</v>
      </c>
      <c r="E414" s="10" t="s">
        <v>12</v>
      </c>
      <c r="F414" s="10" t="s">
        <v>13</v>
      </c>
      <c r="G414" s="10" t="s">
        <v>14</v>
      </c>
      <c r="H414">
        <v>9</v>
      </c>
      <c r="I414">
        <v>6</v>
      </c>
      <c r="J414">
        <v>-5</v>
      </c>
    </row>
    <row r="415" spans="1:10" x14ac:dyDescent="0.35">
      <c r="A415" s="11">
        <v>44457</v>
      </c>
      <c r="B415" s="10" t="s">
        <v>11</v>
      </c>
      <c r="C415">
        <v>5</v>
      </c>
      <c r="E415" s="10" t="s">
        <v>12</v>
      </c>
      <c r="F415" s="10" t="s">
        <v>13</v>
      </c>
      <c r="G415" s="10" t="s">
        <v>14</v>
      </c>
      <c r="H415">
        <v>9</v>
      </c>
      <c r="I415">
        <v>7</v>
      </c>
      <c r="J415">
        <v>-5</v>
      </c>
    </row>
    <row r="416" spans="1:10" x14ac:dyDescent="0.35">
      <c r="A416" s="11">
        <v>44457</v>
      </c>
      <c r="B416" s="10" t="s">
        <v>39</v>
      </c>
      <c r="C416">
        <v>40</v>
      </c>
      <c r="E416" s="10" t="s">
        <v>39</v>
      </c>
      <c r="F416" s="10" t="s">
        <v>17</v>
      </c>
      <c r="G416" s="10" t="s">
        <v>14</v>
      </c>
      <c r="H416">
        <v>9</v>
      </c>
      <c r="I416">
        <v>7</v>
      </c>
      <c r="J416">
        <v>-40</v>
      </c>
    </row>
    <row r="417" spans="1:10" x14ac:dyDescent="0.35">
      <c r="A417" s="11">
        <v>44458</v>
      </c>
      <c r="B417" s="10" t="s">
        <v>40</v>
      </c>
      <c r="C417">
        <v>53</v>
      </c>
      <c r="E417" s="10" t="s">
        <v>41</v>
      </c>
      <c r="F417" s="10" t="s">
        <v>28</v>
      </c>
      <c r="G417" s="10" t="s">
        <v>14</v>
      </c>
      <c r="H417">
        <v>9</v>
      </c>
      <c r="I417">
        <v>1</v>
      </c>
      <c r="J417">
        <v>-53</v>
      </c>
    </row>
    <row r="418" spans="1:10" x14ac:dyDescent="0.35">
      <c r="A418" s="11">
        <v>44458</v>
      </c>
      <c r="B418" s="10" t="s">
        <v>42</v>
      </c>
      <c r="C418">
        <v>35</v>
      </c>
      <c r="E418" s="10" t="s">
        <v>27</v>
      </c>
      <c r="F418" s="10" t="s">
        <v>28</v>
      </c>
      <c r="G418" s="10" t="s">
        <v>14</v>
      </c>
      <c r="H418">
        <v>9</v>
      </c>
      <c r="I418">
        <v>1</v>
      </c>
      <c r="J418">
        <v>-35</v>
      </c>
    </row>
    <row r="419" spans="1:10" x14ac:dyDescent="0.35">
      <c r="A419" s="11">
        <v>44458</v>
      </c>
      <c r="B419" s="10" t="s">
        <v>11</v>
      </c>
      <c r="C419">
        <v>5</v>
      </c>
      <c r="E419" s="10" t="s">
        <v>12</v>
      </c>
      <c r="F419" s="10" t="s">
        <v>13</v>
      </c>
      <c r="G419" s="10" t="s">
        <v>14</v>
      </c>
      <c r="H419">
        <v>9</v>
      </c>
      <c r="I419">
        <v>1</v>
      </c>
      <c r="J419">
        <v>-5</v>
      </c>
    </row>
    <row r="420" spans="1:10" x14ac:dyDescent="0.35">
      <c r="A420" s="11">
        <v>44459</v>
      </c>
      <c r="B420" s="10" t="s">
        <v>11</v>
      </c>
      <c r="C420">
        <v>5</v>
      </c>
      <c r="E420" s="10" t="s">
        <v>12</v>
      </c>
      <c r="F420" s="10" t="s">
        <v>13</v>
      </c>
      <c r="G420" s="10" t="s">
        <v>14</v>
      </c>
      <c r="H420">
        <v>9</v>
      </c>
      <c r="I420">
        <v>2</v>
      </c>
      <c r="J420">
        <v>-5</v>
      </c>
    </row>
    <row r="421" spans="1:10" x14ac:dyDescent="0.35">
      <c r="A421" s="11">
        <v>44460</v>
      </c>
      <c r="B421" s="10" t="s">
        <v>11</v>
      </c>
      <c r="C421">
        <v>5</v>
      </c>
      <c r="E421" s="10" t="s">
        <v>12</v>
      </c>
      <c r="F421" s="10" t="s">
        <v>13</v>
      </c>
      <c r="G421" s="10" t="s">
        <v>14</v>
      </c>
      <c r="H421">
        <v>9</v>
      </c>
      <c r="I421">
        <v>3</v>
      </c>
      <c r="J421">
        <v>-5</v>
      </c>
    </row>
    <row r="422" spans="1:10" x14ac:dyDescent="0.35">
      <c r="A422" s="11">
        <v>44460</v>
      </c>
      <c r="B422" s="10" t="s">
        <v>21</v>
      </c>
      <c r="C422">
        <v>177.9</v>
      </c>
      <c r="E422" s="10" t="s">
        <v>22</v>
      </c>
      <c r="F422" s="10" t="s">
        <v>17</v>
      </c>
      <c r="G422" s="10" t="s">
        <v>14</v>
      </c>
      <c r="H422">
        <v>9</v>
      </c>
      <c r="I422">
        <v>3</v>
      </c>
      <c r="J422">
        <v>-177.9</v>
      </c>
    </row>
    <row r="423" spans="1:10" x14ac:dyDescent="0.35">
      <c r="A423" s="11">
        <v>44461</v>
      </c>
      <c r="B423" s="10" t="s">
        <v>43</v>
      </c>
      <c r="C423">
        <v>45.300000000000004</v>
      </c>
      <c r="E423" s="10" t="s">
        <v>32</v>
      </c>
      <c r="F423" s="10" t="s">
        <v>13</v>
      </c>
      <c r="G423" s="10" t="s">
        <v>14</v>
      </c>
      <c r="H423">
        <v>9</v>
      </c>
      <c r="I423">
        <v>4</v>
      </c>
      <c r="J423">
        <v>-45.300000000000004</v>
      </c>
    </row>
    <row r="424" spans="1:10" x14ac:dyDescent="0.35">
      <c r="A424" s="11">
        <v>44462</v>
      </c>
      <c r="B424" s="10" t="s">
        <v>44</v>
      </c>
      <c r="C424">
        <v>20.099999999999998</v>
      </c>
      <c r="E424" s="10" t="s">
        <v>32</v>
      </c>
      <c r="F424" s="10" t="s">
        <v>13</v>
      </c>
      <c r="G424" s="10" t="s">
        <v>14</v>
      </c>
      <c r="H424">
        <v>9</v>
      </c>
      <c r="I424">
        <v>5</v>
      </c>
      <c r="J424">
        <v>-20.099999999999998</v>
      </c>
    </row>
    <row r="425" spans="1:10" x14ac:dyDescent="0.35">
      <c r="A425" s="11">
        <v>44463</v>
      </c>
      <c r="B425" s="10" t="s">
        <v>45</v>
      </c>
      <c r="C425">
        <v>55</v>
      </c>
      <c r="E425" s="10" t="s">
        <v>46</v>
      </c>
      <c r="F425" s="10" t="s">
        <v>47</v>
      </c>
      <c r="G425" s="10" t="s">
        <v>14</v>
      </c>
      <c r="H425">
        <v>9</v>
      </c>
      <c r="I425">
        <v>6</v>
      </c>
      <c r="J425">
        <v>-55</v>
      </c>
    </row>
    <row r="426" spans="1:10" x14ac:dyDescent="0.35">
      <c r="A426" s="11">
        <v>44463</v>
      </c>
      <c r="B426" s="10" t="s">
        <v>25</v>
      </c>
      <c r="C426">
        <v>70.600000000000023</v>
      </c>
      <c r="E426" s="10" t="s">
        <v>48</v>
      </c>
      <c r="F426" s="10" t="s">
        <v>20</v>
      </c>
      <c r="G426" s="10" t="s">
        <v>14</v>
      </c>
      <c r="H426">
        <v>9</v>
      </c>
      <c r="I426">
        <v>6</v>
      </c>
      <c r="J426">
        <v>-70.600000000000023</v>
      </c>
    </row>
    <row r="427" spans="1:10" x14ac:dyDescent="0.35">
      <c r="A427" s="11">
        <v>44463</v>
      </c>
      <c r="B427" s="10" t="s">
        <v>11</v>
      </c>
      <c r="C427">
        <v>5</v>
      </c>
      <c r="E427" s="10" t="s">
        <v>12</v>
      </c>
      <c r="F427" s="10" t="s">
        <v>13</v>
      </c>
      <c r="G427" s="10" t="s">
        <v>14</v>
      </c>
      <c r="H427">
        <v>9</v>
      </c>
      <c r="I427">
        <v>6</v>
      </c>
      <c r="J427">
        <v>-5</v>
      </c>
    </row>
    <row r="428" spans="1:10" x14ac:dyDescent="0.35">
      <c r="A428" s="11">
        <v>44464</v>
      </c>
      <c r="B428" s="10" t="s">
        <v>11</v>
      </c>
      <c r="C428">
        <v>5</v>
      </c>
      <c r="E428" s="10" t="s">
        <v>12</v>
      </c>
      <c r="F428" s="10" t="s">
        <v>13</v>
      </c>
      <c r="G428" s="10" t="s">
        <v>14</v>
      </c>
      <c r="H428">
        <v>9</v>
      </c>
      <c r="I428">
        <v>7</v>
      </c>
      <c r="J428">
        <v>-5</v>
      </c>
    </row>
    <row r="429" spans="1:10" x14ac:dyDescent="0.35">
      <c r="A429" s="11">
        <v>44465</v>
      </c>
      <c r="B429" s="10" t="s">
        <v>11</v>
      </c>
      <c r="C429">
        <v>5</v>
      </c>
      <c r="E429" s="10" t="s">
        <v>12</v>
      </c>
      <c r="F429" s="10" t="s">
        <v>13</v>
      </c>
      <c r="G429" s="10" t="s">
        <v>14</v>
      </c>
      <c r="H429">
        <v>9</v>
      </c>
      <c r="I429">
        <v>1</v>
      </c>
      <c r="J429">
        <v>-5</v>
      </c>
    </row>
    <row r="430" spans="1:10" x14ac:dyDescent="0.35">
      <c r="A430" s="11">
        <v>44466</v>
      </c>
      <c r="B430" s="10" t="s">
        <v>11</v>
      </c>
      <c r="C430">
        <v>5</v>
      </c>
      <c r="E430" s="10" t="s">
        <v>12</v>
      </c>
      <c r="F430" s="10" t="s">
        <v>13</v>
      </c>
      <c r="G430" s="10" t="s">
        <v>14</v>
      </c>
      <c r="H430">
        <v>9</v>
      </c>
      <c r="I430">
        <v>2</v>
      </c>
      <c r="J430">
        <v>-5</v>
      </c>
    </row>
    <row r="431" spans="1:10" x14ac:dyDescent="0.35">
      <c r="A431" s="11">
        <v>44467</v>
      </c>
      <c r="B431" s="10" t="s">
        <v>11</v>
      </c>
      <c r="C431">
        <v>5</v>
      </c>
      <c r="E431" s="10" t="s">
        <v>12</v>
      </c>
      <c r="F431" s="10" t="s">
        <v>13</v>
      </c>
      <c r="G431" s="10" t="s">
        <v>14</v>
      </c>
      <c r="H431">
        <v>9</v>
      </c>
      <c r="I431">
        <v>3</v>
      </c>
      <c r="J431">
        <v>-5</v>
      </c>
    </row>
    <row r="432" spans="1:10" x14ac:dyDescent="0.35">
      <c r="A432" s="11">
        <v>44467</v>
      </c>
      <c r="B432" s="10" t="s">
        <v>21</v>
      </c>
      <c r="C432">
        <v>223</v>
      </c>
      <c r="E432" s="10" t="s">
        <v>22</v>
      </c>
      <c r="F432" s="10" t="s">
        <v>17</v>
      </c>
      <c r="G432" s="10" t="s">
        <v>14</v>
      </c>
      <c r="H432">
        <v>9</v>
      </c>
      <c r="I432">
        <v>3</v>
      </c>
      <c r="J432">
        <v>-223</v>
      </c>
    </row>
    <row r="433" spans="1:10" x14ac:dyDescent="0.35">
      <c r="A433" s="11">
        <v>44468</v>
      </c>
      <c r="B433" s="10" t="s">
        <v>49</v>
      </c>
      <c r="C433">
        <v>132.9</v>
      </c>
      <c r="E433" s="10" t="s">
        <v>30</v>
      </c>
      <c r="F433" s="10" t="s">
        <v>28</v>
      </c>
      <c r="G433" s="10" t="s">
        <v>14</v>
      </c>
      <c r="H433">
        <v>9</v>
      </c>
      <c r="I433">
        <v>4</v>
      </c>
      <c r="J433">
        <v>-132.9</v>
      </c>
    </row>
    <row r="434" spans="1:10" x14ac:dyDescent="0.35">
      <c r="A434" s="11">
        <v>44468</v>
      </c>
      <c r="B434" s="10" t="s">
        <v>51</v>
      </c>
      <c r="C434">
        <v>175</v>
      </c>
      <c r="E434" s="10" t="s">
        <v>30</v>
      </c>
      <c r="F434" s="10" t="s">
        <v>28</v>
      </c>
      <c r="G434" s="10" t="s">
        <v>14</v>
      </c>
      <c r="H434">
        <v>9</v>
      </c>
      <c r="I434">
        <v>4</v>
      </c>
      <c r="J434">
        <v>-175</v>
      </c>
    </row>
    <row r="435" spans="1:10" x14ac:dyDescent="0.35">
      <c r="A435" s="11">
        <v>44469</v>
      </c>
      <c r="B435" s="10" t="s">
        <v>29</v>
      </c>
      <c r="C435">
        <v>153.39999999999998</v>
      </c>
      <c r="E435" s="10" t="s">
        <v>30</v>
      </c>
      <c r="F435" s="10" t="s">
        <v>28</v>
      </c>
      <c r="G435" s="10" t="s">
        <v>14</v>
      </c>
      <c r="H435">
        <v>9</v>
      </c>
      <c r="I435">
        <v>5</v>
      </c>
      <c r="J435">
        <v>-153.39999999999998</v>
      </c>
    </row>
    <row r="436" spans="1:10" x14ac:dyDescent="0.35">
      <c r="A436" s="11">
        <v>44469</v>
      </c>
      <c r="B436" s="10" t="s">
        <v>33</v>
      </c>
      <c r="C436">
        <v>31.200000000000003</v>
      </c>
      <c r="E436" s="10" t="s">
        <v>34</v>
      </c>
      <c r="F436" s="10" t="s">
        <v>20</v>
      </c>
      <c r="G436" s="10" t="s">
        <v>14</v>
      </c>
      <c r="H436">
        <v>9</v>
      </c>
      <c r="I436">
        <v>5</v>
      </c>
      <c r="J436">
        <v>-31.200000000000003</v>
      </c>
    </row>
    <row r="437" spans="1:10" x14ac:dyDescent="0.35">
      <c r="A437" s="11">
        <v>44469</v>
      </c>
      <c r="B437" s="10" t="s">
        <v>56</v>
      </c>
      <c r="C437">
        <v>15</v>
      </c>
      <c r="E437" s="10" t="s">
        <v>32</v>
      </c>
      <c r="F437" s="10" t="s">
        <v>13</v>
      </c>
      <c r="G437" s="10" t="s">
        <v>14</v>
      </c>
      <c r="H437">
        <v>9</v>
      </c>
      <c r="I437">
        <v>5</v>
      </c>
      <c r="J437">
        <v>-15</v>
      </c>
    </row>
    <row r="438" spans="1:10" x14ac:dyDescent="0.35">
      <c r="A438" s="11">
        <v>44470</v>
      </c>
      <c r="B438" s="10" t="s">
        <v>11</v>
      </c>
      <c r="C438">
        <v>5</v>
      </c>
      <c r="E438" s="10" t="s">
        <v>12</v>
      </c>
      <c r="F438" s="10" t="s">
        <v>13</v>
      </c>
      <c r="G438" s="10" t="s">
        <v>14</v>
      </c>
      <c r="H438">
        <v>10</v>
      </c>
      <c r="I438">
        <v>6</v>
      </c>
      <c r="J438">
        <v>-5</v>
      </c>
    </row>
    <row r="439" spans="1:10" x14ac:dyDescent="0.35">
      <c r="A439" s="11">
        <v>44472</v>
      </c>
      <c r="B439" s="10" t="s">
        <v>11</v>
      </c>
      <c r="C439">
        <v>5</v>
      </c>
      <c r="E439" s="10" t="s">
        <v>12</v>
      </c>
      <c r="F439" s="10" t="s">
        <v>13</v>
      </c>
      <c r="G439" s="10" t="s">
        <v>14</v>
      </c>
      <c r="H439">
        <v>10</v>
      </c>
      <c r="I439">
        <v>1</v>
      </c>
      <c r="J439">
        <v>-5</v>
      </c>
    </row>
    <row r="440" spans="1:10" x14ac:dyDescent="0.35">
      <c r="A440" s="11">
        <v>44472</v>
      </c>
      <c r="B440" s="10" t="s">
        <v>7</v>
      </c>
      <c r="D440">
        <v>5000</v>
      </c>
      <c r="E440" s="10" t="s">
        <v>8</v>
      </c>
      <c r="F440" s="10" t="s">
        <v>9</v>
      </c>
      <c r="G440" s="10" t="s">
        <v>10</v>
      </c>
      <c r="H440">
        <v>10</v>
      </c>
      <c r="I440">
        <v>1</v>
      </c>
      <c r="J440">
        <v>5000</v>
      </c>
    </row>
    <row r="441" spans="1:10" x14ac:dyDescent="0.35">
      <c r="A441" s="11">
        <v>44473</v>
      </c>
      <c r="B441" s="10" t="s">
        <v>11</v>
      </c>
      <c r="C441">
        <v>5</v>
      </c>
      <c r="E441" s="10" t="s">
        <v>12</v>
      </c>
      <c r="F441" s="10" t="s">
        <v>13</v>
      </c>
      <c r="G441" s="10" t="s">
        <v>14</v>
      </c>
      <c r="H441">
        <v>10</v>
      </c>
      <c r="I441">
        <v>2</v>
      </c>
      <c r="J441">
        <v>-5</v>
      </c>
    </row>
    <row r="442" spans="1:10" x14ac:dyDescent="0.35">
      <c r="A442" s="11">
        <v>44475</v>
      </c>
      <c r="B442" s="10" t="s">
        <v>15</v>
      </c>
      <c r="C442">
        <v>900</v>
      </c>
      <c r="E442" s="10" t="s">
        <v>16</v>
      </c>
      <c r="F442" s="10" t="s">
        <v>17</v>
      </c>
      <c r="G442" s="10" t="s">
        <v>14</v>
      </c>
      <c r="H442">
        <v>10</v>
      </c>
      <c r="I442">
        <v>4</v>
      </c>
      <c r="J442">
        <v>-900</v>
      </c>
    </row>
    <row r="443" spans="1:10" x14ac:dyDescent="0.35">
      <c r="A443" s="11">
        <v>44475</v>
      </c>
      <c r="B443" s="10" t="s">
        <v>18</v>
      </c>
      <c r="C443">
        <v>150</v>
      </c>
      <c r="E443" s="10" t="s">
        <v>19</v>
      </c>
      <c r="F443" s="10" t="s">
        <v>20</v>
      </c>
      <c r="G443" s="10" t="s">
        <v>14</v>
      </c>
      <c r="H443">
        <v>10</v>
      </c>
      <c r="I443">
        <v>4</v>
      </c>
      <c r="J443">
        <v>-150</v>
      </c>
    </row>
    <row r="444" spans="1:10" x14ac:dyDescent="0.35">
      <c r="A444" s="11">
        <v>44475</v>
      </c>
      <c r="B444" s="10" t="s">
        <v>11</v>
      </c>
      <c r="C444">
        <v>5</v>
      </c>
      <c r="E444" s="10" t="s">
        <v>12</v>
      </c>
      <c r="F444" s="10" t="s">
        <v>13</v>
      </c>
      <c r="G444" s="10" t="s">
        <v>14</v>
      </c>
      <c r="H444">
        <v>10</v>
      </c>
      <c r="I444">
        <v>4</v>
      </c>
      <c r="J444">
        <v>-5</v>
      </c>
    </row>
    <row r="445" spans="1:10" x14ac:dyDescent="0.35">
      <c r="A445" s="11">
        <v>44475</v>
      </c>
      <c r="B445" s="10" t="s">
        <v>11</v>
      </c>
      <c r="C445">
        <v>5</v>
      </c>
      <c r="E445" s="10" t="s">
        <v>12</v>
      </c>
      <c r="F445" s="10" t="s">
        <v>13</v>
      </c>
      <c r="G445" s="10" t="s">
        <v>14</v>
      </c>
      <c r="H445">
        <v>10</v>
      </c>
      <c r="I445">
        <v>4</v>
      </c>
      <c r="J445">
        <v>-5</v>
      </c>
    </row>
    <row r="446" spans="1:10" x14ac:dyDescent="0.35">
      <c r="A446" s="11">
        <v>44476</v>
      </c>
      <c r="B446" s="10" t="s">
        <v>11</v>
      </c>
      <c r="C446">
        <v>5</v>
      </c>
      <c r="E446" s="10" t="s">
        <v>12</v>
      </c>
      <c r="F446" s="10" t="s">
        <v>13</v>
      </c>
      <c r="G446" s="10" t="s">
        <v>14</v>
      </c>
      <c r="H446">
        <v>10</v>
      </c>
      <c r="I446">
        <v>5</v>
      </c>
      <c r="J446">
        <v>-5</v>
      </c>
    </row>
    <row r="447" spans="1:10" x14ac:dyDescent="0.35">
      <c r="A447" s="11">
        <v>44477</v>
      </c>
      <c r="B447" s="10" t="s">
        <v>11</v>
      </c>
      <c r="C447">
        <v>5</v>
      </c>
      <c r="E447" s="10" t="s">
        <v>12</v>
      </c>
      <c r="F447" s="10" t="s">
        <v>13</v>
      </c>
      <c r="G447" s="10" t="s">
        <v>14</v>
      </c>
      <c r="H447">
        <v>10</v>
      </c>
      <c r="I447">
        <v>6</v>
      </c>
      <c r="J447">
        <v>-5</v>
      </c>
    </row>
    <row r="448" spans="1:10" x14ac:dyDescent="0.35">
      <c r="A448" s="11">
        <v>44477</v>
      </c>
      <c r="B448" s="10" t="s">
        <v>21</v>
      </c>
      <c r="C448">
        <v>105</v>
      </c>
      <c r="E448" s="10" t="s">
        <v>22</v>
      </c>
      <c r="F448" s="10" t="s">
        <v>17</v>
      </c>
      <c r="G448" s="10" t="s">
        <v>14</v>
      </c>
      <c r="H448">
        <v>10</v>
      </c>
      <c r="I448">
        <v>6</v>
      </c>
      <c r="J448">
        <v>-105</v>
      </c>
    </row>
    <row r="449" spans="1:10" x14ac:dyDescent="0.35">
      <c r="A449" s="11">
        <v>44480</v>
      </c>
      <c r="B449" s="10" t="s">
        <v>23</v>
      </c>
      <c r="C449">
        <v>59</v>
      </c>
      <c r="E449" s="10" t="s">
        <v>24</v>
      </c>
      <c r="F449" s="10" t="s">
        <v>17</v>
      </c>
      <c r="G449" s="10" t="s">
        <v>14</v>
      </c>
      <c r="H449">
        <v>10</v>
      </c>
      <c r="I449">
        <v>2</v>
      </c>
      <c r="J449">
        <v>-59</v>
      </c>
    </row>
    <row r="450" spans="1:10" x14ac:dyDescent="0.35">
      <c r="A450" s="11">
        <v>44480</v>
      </c>
      <c r="B450" s="10" t="s">
        <v>11</v>
      </c>
      <c r="C450">
        <v>5</v>
      </c>
      <c r="E450" s="10" t="s">
        <v>12</v>
      </c>
      <c r="F450" s="10" t="s">
        <v>13</v>
      </c>
      <c r="G450" s="10" t="s">
        <v>14</v>
      </c>
      <c r="H450">
        <v>10</v>
      </c>
      <c r="I450">
        <v>2</v>
      </c>
      <c r="J450">
        <v>-5</v>
      </c>
    </row>
    <row r="451" spans="1:10" x14ac:dyDescent="0.35">
      <c r="A451" s="11">
        <v>44481</v>
      </c>
      <c r="B451" s="10" t="s">
        <v>11</v>
      </c>
      <c r="C451">
        <v>5</v>
      </c>
      <c r="E451" s="10" t="s">
        <v>12</v>
      </c>
      <c r="F451" s="10" t="s">
        <v>13</v>
      </c>
      <c r="G451" s="10" t="s">
        <v>14</v>
      </c>
      <c r="H451">
        <v>10</v>
      </c>
      <c r="I451">
        <v>3</v>
      </c>
      <c r="J451">
        <v>-5</v>
      </c>
    </row>
    <row r="452" spans="1:10" x14ac:dyDescent="0.35">
      <c r="A452" s="11">
        <v>44482</v>
      </c>
      <c r="B452" s="10" t="s">
        <v>25</v>
      </c>
      <c r="C452">
        <v>86.399999999999977</v>
      </c>
      <c r="E452" s="10" t="s">
        <v>48</v>
      </c>
      <c r="F452" s="10" t="s">
        <v>20</v>
      </c>
      <c r="G452" s="10" t="s">
        <v>14</v>
      </c>
      <c r="H452">
        <v>10</v>
      </c>
      <c r="I452">
        <v>4</v>
      </c>
      <c r="J452">
        <v>-86.399999999999977</v>
      </c>
    </row>
    <row r="453" spans="1:10" x14ac:dyDescent="0.35">
      <c r="A453" s="11">
        <v>44482</v>
      </c>
      <c r="B453" s="10" t="s">
        <v>11</v>
      </c>
      <c r="C453">
        <v>5</v>
      </c>
      <c r="E453" s="10" t="s">
        <v>12</v>
      </c>
      <c r="F453" s="10" t="s">
        <v>13</v>
      </c>
      <c r="G453" s="10" t="s">
        <v>14</v>
      </c>
      <c r="H453">
        <v>10</v>
      </c>
      <c r="I453">
        <v>4</v>
      </c>
      <c r="J453">
        <v>-5</v>
      </c>
    </row>
    <row r="454" spans="1:10" x14ac:dyDescent="0.35">
      <c r="A454" s="11">
        <v>44483</v>
      </c>
      <c r="B454" s="10" t="s">
        <v>11</v>
      </c>
      <c r="C454">
        <v>5</v>
      </c>
      <c r="E454" s="10" t="s">
        <v>12</v>
      </c>
      <c r="F454" s="10" t="s">
        <v>13</v>
      </c>
      <c r="G454" s="10" t="s">
        <v>14</v>
      </c>
      <c r="H454">
        <v>10</v>
      </c>
      <c r="I454">
        <v>5</v>
      </c>
      <c r="J454">
        <v>-5</v>
      </c>
    </row>
    <row r="455" spans="1:10" x14ac:dyDescent="0.35">
      <c r="A455" s="11">
        <v>44484</v>
      </c>
      <c r="B455" s="10" t="s">
        <v>21</v>
      </c>
      <c r="C455">
        <v>143.9</v>
      </c>
      <c r="E455" s="10" t="s">
        <v>22</v>
      </c>
      <c r="F455" s="10" t="s">
        <v>17</v>
      </c>
      <c r="G455" s="10" t="s">
        <v>14</v>
      </c>
      <c r="H455">
        <v>10</v>
      </c>
      <c r="I455">
        <v>6</v>
      </c>
      <c r="J455">
        <v>-143.9</v>
      </c>
    </row>
    <row r="456" spans="1:10" x14ac:dyDescent="0.35">
      <c r="A456" s="11">
        <v>44484</v>
      </c>
      <c r="B456" s="10" t="s">
        <v>11</v>
      </c>
      <c r="C456">
        <v>5</v>
      </c>
      <c r="E456" s="10" t="s">
        <v>12</v>
      </c>
      <c r="F456" s="10" t="s">
        <v>13</v>
      </c>
      <c r="G456" s="10" t="s">
        <v>14</v>
      </c>
      <c r="H456">
        <v>10</v>
      </c>
      <c r="I456">
        <v>6</v>
      </c>
      <c r="J456">
        <v>-5</v>
      </c>
    </row>
    <row r="457" spans="1:10" x14ac:dyDescent="0.35">
      <c r="A457" s="11">
        <v>44485</v>
      </c>
      <c r="B457" s="10" t="s">
        <v>11</v>
      </c>
      <c r="C457">
        <v>5</v>
      </c>
      <c r="E457" s="10" t="s">
        <v>12</v>
      </c>
      <c r="F457" s="10" t="s">
        <v>13</v>
      </c>
      <c r="G457" s="10" t="s">
        <v>14</v>
      </c>
      <c r="H457">
        <v>10</v>
      </c>
      <c r="I457">
        <v>7</v>
      </c>
      <c r="J457">
        <v>-5</v>
      </c>
    </row>
    <row r="458" spans="1:10" x14ac:dyDescent="0.35">
      <c r="A458" s="11">
        <v>44485</v>
      </c>
      <c r="B458" s="10" t="s">
        <v>26</v>
      </c>
      <c r="C458">
        <v>48.8</v>
      </c>
      <c r="E458" s="10" t="s">
        <v>27</v>
      </c>
      <c r="F458" s="10" t="s">
        <v>28</v>
      </c>
      <c r="G458" s="10" t="s">
        <v>14</v>
      </c>
      <c r="H458">
        <v>10</v>
      </c>
      <c r="I458">
        <v>7</v>
      </c>
      <c r="J458">
        <v>-48.8</v>
      </c>
    </row>
    <row r="459" spans="1:10" x14ac:dyDescent="0.35">
      <c r="A459" s="11">
        <v>44485</v>
      </c>
      <c r="B459" s="10" t="s">
        <v>29</v>
      </c>
      <c r="C459">
        <v>106.70000000000002</v>
      </c>
      <c r="E459" s="10" t="s">
        <v>30</v>
      </c>
      <c r="F459" s="10" t="s">
        <v>28</v>
      </c>
      <c r="G459" s="10" t="s">
        <v>14</v>
      </c>
      <c r="H459">
        <v>10</v>
      </c>
      <c r="I459">
        <v>7</v>
      </c>
      <c r="J459">
        <v>-106.70000000000002</v>
      </c>
    </row>
    <row r="460" spans="1:10" x14ac:dyDescent="0.35">
      <c r="A460" s="11">
        <v>44485</v>
      </c>
      <c r="B460" s="10" t="s">
        <v>31</v>
      </c>
      <c r="C460">
        <v>61.1</v>
      </c>
      <c r="E460" s="10" t="s">
        <v>32</v>
      </c>
      <c r="F460" s="10" t="s">
        <v>13</v>
      </c>
      <c r="G460" s="10" t="s">
        <v>14</v>
      </c>
      <c r="H460">
        <v>10</v>
      </c>
      <c r="I460">
        <v>7</v>
      </c>
      <c r="J460">
        <v>-61.1</v>
      </c>
    </row>
    <row r="461" spans="1:10" x14ac:dyDescent="0.35">
      <c r="A461" s="11">
        <v>44486</v>
      </c>
      <c r="B461" s="10" t="s">
        <v>33</v>
      </c>
      <c r="C461">
        <v>37.200000000000003</v>
      </c>
      <c r="E461" s="10" t="s">
        <v>34</v>
      </c>
      <c r="F461" s="10" t="s">
        <v>20</v>
      </c>
      <c r="G461" s="10" t="s">
        <v>14</v>
      </c>
      <c r="H461">
        <v>10</v>
      </c>
      <c r="I461">
        <v>1</v>
      </c>
      <c r="J461">
        <v>-37.200000000000003</v>
      </c>
    </row>
    <row r="462" spans="1:10" x14ac:dyDescent="0.35">
      <c r="A462" s="11">
        <v>44487</v>
      </c>
      <c r="B462" s="10" t="s">
        <v>35</v>
      </c>
      <c r="D462">
        <v>100</v>
      </c>
      <c r="E462" s="10" t="s">
        <v>36</v>
      </c>
      <c r="F462" s="10" t="s">
        <v>37</v>
      </c>
      <c r="G462" s="10" t="s">
        <v>10</v>
      </c>
      <c r="H462">
        <v>10</v>
      </c>
      <c r="I462">
        <v>2</v>
      </c>
      <c r="J462">
        <v>100</v>
      </c>
    </row>
    <row r="463" spans="1:10" x14ac:dyDescent="0.35">
      <c r="A463" s="11">
        <v>44487</v>
      </c>
      <c r="B463" s="10" t="s">
        <v>11</v>
      </c>
      <c r="C463">
        <v>5</v>
      </c>
      <c r="E463" s="10" t="s">
        <v>12</v>
      </c>
      <c r="F463" s="10" t="s">
        <v>13</v>
      </c>
      <c r="G463" s="10" t="s">
        <v>14</v>
      </c>
      <c r="H463">
        <v>10</v>
      </c>
      <c r="I463">
        <v>2</v>
      </c>
      <c r="J463">
        <v>-5</v>
      </c>
    </row>
    <row r="464" spans="1:10" x14ac:dyDescent="0.35">
      <c r="A464" s="11">
        <v>44488</v>
      </c>
      <c r="B464" s="10" t="s">
        <v>11</v>
      </c>
      <c r="C464">
        <v>5</v>
      </c>
      <c r="E464" s="10" t="s">
        <v>12</v>
      </c>
      <c r="F464" s="10" t="s">
        <v>13</v>
      </c>
      <c r="G464" s="10" t="s">
        <v>14</v>
      </c>
      <c r="H464">
        <v>10</v>
      </c>
      <c r="I464">
        <v>3</v>
      </c>
      <c r="J464">
        <v>-5</v>
      </c>
    </row>
    <row r="465" spans="1:10" x14ac:dyDescent="0.35">
      <c r="A465" s="11">
        <v>44488</v>
      </c>
      <c r="B465" s="10" t="s">
        <v>52</v>
      </c>
      <c r="C465">
        <v>75</v>
      </c>
      <c r="E465" s="10" t="s">
        <v>53</v>
      </c>
      <c r="F465" s="10" t="s">
        <v>54</v>
      </c>
      <c r="G465" s="10" t="s">
        <v>14</v>
      </c>
      <c r="H465">
        <v>10</v>
      </c>
      <c r="I465">
        <v>3</v>
      </c>
      <c r="J465">
        <v>-75</v>
      </c>
    </row>
    <row r="466" spans="1:10" x14ac:dyDescent="0.35">
      <c r="A466" s="11">
        <v>44488</v>
      </c>
      <c r="B466" s="10" t="s">
        <v>39</v>
      </c>
      <c r="C466">
        <v>40</v>
      </c>
      <c r="E466" s="10" t="s">
        <v>39</v>
      </c>
      <c r="F466" s="10" t="s">
        <v>17</v>
      </c>
      <c r="G466" s="10" t="s">
        <v>14</v>
      </c>
      <c r="H466">
        <v>10</v>
      </c>
      <c r="I466">
        <v>3</v>
      </c>
      <c r="J466">
        <v>-40</v>
      </c>
    </row>
    <row r="467" spans="1:10" x14ac:dyDescent="0.35">
      <c r="A467" s="11">
        <v>44489</v>
      </c>
      <c r="B467" s="10" t="s">
        <v>40</v>
      </c>
      <c r="C467">
        <v>54.1</v>
      </c>
      <c r="E467" s="10" t="s">
        <v>41</v>
      </c>
      <c r="F467" s="10" t="s">
        <v>28</v>
      </c>
      <c r="G467" s="10" t="s">
        <v>14</v>
      </c>
      <c r="H467">
        <v>10</v>
      </c>
      <c r="I467">
        <v>4</v>
      </c>
      <c r="J467">
        <v>-54.1</v>
      </c>
    </row>
    <row r="468" spans="1:10" x14ac:dyDescent="0.35">
      <c r="A468" s="11">
        <v>44489</v>
      </c>
      <c r="B468" s="10" t="s">
        <v>42</v>
      </c>
      <c r="C468">
        <v>35</v>
      </c>
      <c r="E468" s="10" t="s">
        <v>27</v>
      </c>
      <c r="F468" s="10" t="s">
        <v>28</v>
      </c>
      <c r="G468" s="10" t="s">
        <v>14</v>
      </c>
      <c r="H468">
        <v>10</v>
      </c>
      <c r="I468">
        <v>4</v>
      </c>
      <c r="J468">
        <v>-35</v>
      </c>
    </row>
    <row r="469" spans="1:10" x14ac:dyDescent="0.35">
      <c r="A469" s="11">
        <v>44489</v>
      </c>
      <c r="B469" s="10" t="s">
        <v>11</v>
      </c>
      <c r="C469">
        <v>5</v>
      </c>
      <c r="E469" s="10" t="s">
        <v>12</v>
      </c>
      <c r="F469" s="10" t="s">
        <v>13</v>
      </c>
      <c r="G469" s="10" t="s">
        <v>14</v>
      </c>
      <c r="H469">
        <v>10</v>
      </c>
      <c r="I469">
        <v>4</v>
      </c>
      <c r="J469">
        <v>-5</v>
      </c>
    </row>
    <row r="470" spans="1:10" x14ac:dyDescent="0.35">
      <c r="A470" s="11">
        <v>44490</v>
      </c>
      <c r="B470" s="10" t="s">
        <v>11</v>
      </c>
      <c r="C470">
        <v>5</v>
      </c>
      <c r="E470" s="10" t="s">
        <v>12</v>
      </c>
      <c r="F470" s="10" t="s">
        <v>13</v>
      </c>
      <c r="G470" s="10" t="s">
        <v>14</v>
      </c>
      <c r="H470">
        <v>10</v>
      </c>
      <c r="I470">
        <v>5</v>
      </c>
      <c r="J470">
        <v>-5</v>
      </c>
    </row>
    <row r="471" spans="1:10" x14ac:dyDescent="0.35">
      <c r="A471" s="11">
        <v>44491</v>
      </c>
      <c r="B471" s="10" t="s">
        <v>11</v>
      </c>
      <c r="C471">
        <v>5</v>
      </c>
      <c r="E471" s="10" t="s">
        <v>12</v>
      </c>
      <c r="F471" s="10" t="s">
        <v>13</v>
      </c>
      <c r="G471" s="10" t="s">
        <v>14</v>
      </c>
      <c r="H471">
        <v>10</v>
      </c>
      <c r="I471">
        <v>6</v>
      </c>
      <c r="J471">
        <v>-5</v>
      </c>
    </row>
    <row r="472" spans="1:10" x14ac:dyDescent="0.35">
      <c r="A472" s="11">
        <v>44491</v>
      </c>
      <c r="B472" s="10" t="s">
        <v>21</v>
      </c>
      <c r="C472">
        <v>178.9</v>
      </c>
      <c r="E472" s="10" t="s">
        <v>22</v>
      </c>
      <c r="F472" s="10" t="s">
        <v>17</v>
      </c>
      <c r="G472" s="10" t="s">
        <v>14</v>
      </c>
      <c r="H472">
        <v>10</v>
      </c>
      <c r="I472">
        <v>6</v>
      </c>
      <c r="J472">
        <v>-178.9</v>
      </c>
    </row>
    <row r="473" spans="1:10" x14ac:dyDescent="0.35">
      <c r="A473" s="11">
        <v>44492</v>
      </c>
      <c r="B473" s="10" t="s">
        <v>43</v>
      </c>
      <c r="C473">
        <v>46.2</v>
      </c>
      <c r="E473" s="10" t="s">
        <v>32</v>
      </c>
      <c r="F473" s="10" t="s">
        <v>13</v>
      </c>
      <c r="G473" s="10" t="s">
        <v>14</v>
      </c>
      <c r="H473">
        <v>10</v>
      </c>
      <c r="I473">
        <v>7</v>
      </c>
      <c r="J473">
        <v>-46.2</v>
      </c>
    </row>
    <row r="474" spans="1:10" x14ac:dyDescent="0.35">
      <c r="A474" s="11">
        <v>44493</v>
      </c>
      <c r="B474" s="10" t="s">
        <v>44</v>
      </c>
      <c r="C474">
        <v>21.099999999999998</v>
      </c>
      <c r="E474" s="10" t="s">
        <v>32</v>
      </c>
      <c r="F474" s="10" t="s">
        <v>13</v>
      </c>
      <c r="G474" s="10" t="s">
        <v>14</v>
      </c>
      <c r="H474">
        <v>10</v>
      </c>
      <c r="I474">
        <v>1</v>
      </c>
      <c r="J474">
        <v>-21.099999999999998</v>
      </c>
    </row>
    <row r="475" spans="1:10" x14ac:dyDescent="0.35">
      <c r="A475" s="11">
        <v>44494</v>
      </c>
      <c r="B475" s="10" t="s">
        <v>45</v>
      </c>
      <c r="C475">
        <v>55</v>
      </c>
      <c r="E475" s="10" t="s">
        <v>46</v>
      </c>
      <c r="F475" s="10" t="s">
        <v>47</v>
      </c>
      <c r="G475" s="10" t="s">
        <v>14</v>
      </c>
      <c r="H475">
        <v>10</v>
      </c>
      <c r="I475">
        <v>2</v>
      </c>
      <c r="J475">
        <v>-55</v>
      </c>
    </row>
    <row r="476" spans="1:10" x14ac:dyDescent="0.35">
      <c r="A476" s="11">
        <v>44494</v>
      </c>
      <c r="B476" s="10" t="s">
        <v>25</v>
      </c>
      <c r="C476">
        <v>71.500000000000028</v>
      </c>
      <c r="E476" s="10" t="s">
        <v>48</v>
      </c>
      <c r="F476" s="10" t="s">
        <v>20</v>
      </c>
      <c r="G476" s="10" t="s">
        <v>14</v>
      </c>
      <c r="H476">
        <v>10</v>
      </c>
      <c r="I476">
        <v>2</v>
      </c>
      <c r="J476">
        <v>-71.500000000000028</v>
      </c>
    </row>
    <row r="477" spans="1:10" x14ac:dyDescent="0.35">
      <c r="A477" s="11">
        <v>44494</v>
      </c>
      <c r="B477" s="10" t="s">
        <v>11</v>
      </c>
      <c r="C477">
        <v>5</v>
      </c>
      <c r="E477" s="10" t="s">
        <v>12</v>
      </c>
      <c r="F477" s="10" t="s">
        <v>13</v>
      </c>
      <c r="G477" s="10" t="s">
        <v>14</v>
      </c>
      <c r="H477">
        <v>10</v>
      </c>
      <c r="I477">
        <v>2</v>
      </c>
      <c r="J477">
        <v>-5</v>
      </c>
    </row>
    <row r="478" spans="1:10" x14ac:dyDescent="0.35">
      <c r="A478" s="11">
        <v>44495</v>
      </c>
      <c r="B478" s="10" t="s">
        <v>11</v>
      </c>
      <c r="C478">
        <v>5</v>
      </c>
      <c r="E478" s="10" t="s">
        <v>12</v>
      </c>
      <c r="F478" s="10" t="s">
        <v>13</v>
      </c>
      <c r="G478" s="10" t="s">
        <v>14</v>
      </c>
      <c r="H478">
        <v>10</v>
      </c>
      <c r="I478">
        <v>3</v>
      </c>
      <c r="J478">
        <v>-5</v>
      </c>
    </row>
    <row r="479" spans="1:10" x14ac:dyDescent="0.35">
      <c r="A479" s="11">
        <v>44496</v>
      </c>
      <c r="B479" s="10" t="s">
        <v>11</v>
      </c>
      <c r="C479">
        <v>5</v>
      </c>
      <c r="E479" s="10" t="s">
        <v>12</v>
      </c>
      <c r="F479" s="10" t="s">
        <v>13</v>
      </c>
      <c r="G479" s="10" t="s">
        <v>14</v>
      </c>
      <c r="H479">
        <v>10</v>
      </c>
      <c r="I479">
        <v>4</v>
      </c>
      <c r="J479">
        <v>-5</v>
      </c>
    </row>
    <row r="480" spans="1:10" x14ac:dyDescent="0.35">
      <c r="A480" s="11">
        <v>44497</v>
      </c>
      <c r="B480" s="10" t="s">
        <v>11</v>
      </c>
      <c r="C480">
        <v>5</v>
      </c>
      <c r="E480" s="10" t="s">
        <v>12</v>
      </c>
      <c r="F480" s="10" t="s">
        <v>13</v>
      </c>
      <c r="G480" s="10" t="s">
        <v>14</v>
      </c>
      <c r="H480">
        <v>10</v>
      </c>
      <c r="I480">
        <v>5</v>
      </c>
      <c r="J480">
        <v>-5</v>
      </c>
    </row>
    <row r="481" spans="1:10" x14ac:dyDescent="0.35">
      <c r="A481" s="11">
        <v>44498</v>
      </c>
      <c r="B481" s="10" t="s">
        <v>11</v>
      </c>
      <c r="C481">
        <v>5</v>
      </c>
      <c r="E481" s="10" t="s">
        <v>12</v>
      </c>
      <c r="F481" s="10" t="s">
        <v>13</v>
      </c>
      <c r="G481" s="10" t="s">
        <v>14</v>
      </c>
      <c r="H481">
        <v>10</v>
      </c>
      <c r="I481">
        <v>6</v>
      </c>
      <c r="J481">
        <v>-5</v>
      </c>
    </row>
    <row r="482" spans="1:10" x14ac:dyDescent="0.35">
      <c r="A482" s="11">
        <v>44498</v>
      </c>
      <c r="B482" s="10" t="s">
        <v>21</v>
      </c>
      <c r="C482">
        <v>189</v>
      </c>
      <c r="E482" s="10" t="s">
        <v>22</v>
      </c>
      <c r="F482" s="10" t="s">
        <v>17</v>
      </c>
      <c r="G482" s="10" t="s">
        <v>14</v>
      </c>
      <c r="H482">
        <v>10</v>
      </c>
      <c r="I482">
        <v>6</v>
      </c>
      <c r="J482">
        <v>-189</v>
      </c>
    </row>
    <row r="483" spans="1:10" x14ac:dyDescent="0.35">
      <c r="A483" s="11">
        <v>44499</v>
      </c>
      <c r="B483" s="10" t="s">
        <v>49</v>
      </c>
      <c r="C483">
        <v>133.80000000000001</v>
      </c>
      <c r="E483" s="10" t="s">
        <v>30</v>
      </c>
      <c r="F483" s="10" t="s">
        <v>28</v>
      </c>
      <c r="G483" s="10" t="s">
        <v>14</v>
      </c>
      <c r="H483">
        <v>10</v>
      </c>
      <c r="I483">
        <v>7</v>
      </c>
      <c r="J483">
        <v>-133.80000000000001</v>
      </c>
    </row>
    <row r="484" spans="1:10" x14ac:dyDescent="0.35">
      <c r="A484" s="11">
        <v>44499</v>
      </c>
      <c r="B484" s="10" t="s">
        <v>50</v>
      </c>
      <c r="C484">
        <v>184.39999999999998</v>
      </c>
      <c r="E484" s="10" t="s">
        <v>27</v>
      </c>
      <c r="F484" s="10" t="s">
        <v>28</v>
      </c>
      <c r="G484" s="10" t="s">
        <v>14</v>
      </c>
      <c r="H484">
        <v>10</v>
      </c>
      <c r="I484">
        <v>7</v>
      </c>
      <c r="J484">
        <v>-184.39999999999998</v>
      </c>
    </row>
    <row r="485" spans="1:10" x14ac:dyDescent="0.35">
      <c r="A485" s="11">
        <v>44500</v>
      </c>
      <c r="B485" s="10" t="s">
        <v>29</v>
      </c>
      <c r="C485">
        <v>154.49999999999997</v>
      </c>
      <c r="E485" s="10" t="s">
        <v>30</v>
      </c>
      <c r="F485" s="10" t="s">
        <v>28</v>
      </c>
      <c r="G485" s="10" t="s">
        <v>14</v>
      </c>
      <c r="H485">
        <v>10</v>
      </c>
      <c r="I485">
        <v>1</v>
      </c>
      <c r="J485">
        <v>-154.49999999999997</v>
      </c>
    </row>
    <row r="486" spans="1:10" x14ac:dyDescent="0.35">
      <c r="A486" s="11">
        <v>44500</v>
      </c>
      <c r="B486" s="10" t="s">
        <v>33</v>
      </c>
      <c r="C486">
        <v>32.1</v>
      </c>
      <c r="E486" s="10" t="s">
        <v>34</v>
      </c>
      <c r="F486" s="10" t="s">
        <v>20</v>
      </c>
      <c r="G486" s="10" t="s">
        <v>14</v>
      </c>
      <c r="H486">
        <v>10</v>
      </c>
      <c r="I486">
        <v>1</v>
      </c>
      <c r="J486">
        <v>-32.1</v>
      </c>
    </row>
    <row r="487" spans="1:10" x14ac:dyDescent="0.35">
      <c r="A487" s="11">
        <v>44500</v>
      </c>
      <c r="B487" s="10" t="s">
        <v>56</v>
      </c>
      <c r="C487">
        <v>15</v>
      </c>
      <c r="E487" s="10" t="s">
        <v>32</v>
      </c>
      <c r="F487" s="10" t="s">
        <v>13</v>
      </c>
      <c r="G487" s="10" t="s">
        <v>14</v>
      </c>
      <c r="H487">
        <v>10</v>
      </c>
      <c r="I487">
        <v>1</v>
      </c>
      <c r="J487">
        <v>-15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957BC-EE43-4E39-BB82-DF8E456847A8}">
  <dimension ref="A1:K20"/>
  <sheetViews>
    <sheetView workbookViewId="0">
      <selection activeCell="H8" sqref="H8"/>
    </sheetView>
  </sheetViews>
  <sheetFormatPr defaultRowHeight="15" x14ac:dyDescent="0.35"/>
  <cols>
    <col min="2" max="2" width="12.1796875" customWidth="1"/>
    <col min="5" max="5" width="14" customWidth="1"/>
    <col min="6" max="6" width="10.26953125" customWidth="1"/>
    <col min="7" max="7" width="14.81640625" customWidth="1"/>
    <col min="8" max="8" width="15.81640625" customWidth="1"/>
    <col min="9" max="9" width="10.6328125" customWidth="1"/>
    <col min="10" max="10" width="9.6328125" customWidth="1"/>
    <col min="11" max="11" width="14" customWidth="1"/>
  </cols>
  <sheetData>
    <row r="1" spans="1:11" x14ac:dyDescent="0.35">
      <c r="A1" t="s">
        <v>0</v>
      </c>
      <c r="B1" t="s">
        <v>1</v>
      </c>
      <c r="C1" t="s">
        <v>2</v>
      </c>
      <c r="D1" t="s">
        <v>3</v>
      </c>
      <c r="E1" t="s">
        <v>4</v>
      </c>
      <c r="F1" t="s">
        <v>5</v>
      </c>
      <c r="G1" t="s">
        <v>6</v>
      </c>
      <c r="H1" t="s">
        <v>61</v>
      </c>
      <c r="I1" t="s">
        <v>62</v>
      </c>
      <c r="J1" t="s">
        <v>63</v>
      </c>
      <c r="K1" t="s">
        <v>77</v>
      </c>
    </row>
    <row r="2" spans="1:11" x14ac:dyDescent="0.35">
      <c r="A2" s="11">
        <v>44498</v>
      </c>
      <c r="B2" t="s">
        <v>21</v>
      </c>
      <c r="C2">
        <v>189</v>
      </c>
      <c r="E2" t="s">
        <v>22</v>
      </c>
      <c r="F2" t="s">
        <v>17</v>
      </c>
      <c r="G2" t="s">
        <v>14</v>
      </c>
      <c r="H2">
        <v>10</v>
      </c>
      <c r="I2" s="11">
        <v>6</v>
      </c>
      <c r="J2">
        <v>-189</v>
      </c>
      <c r="K2" t="s">
        <v>87</v>
      </c>
    </row>
    <row r="3" spans="1:11" x14ac:dyDescent="0.35">
      <c r="A3" s="11">
        <v>44491</v>
      </c>
      <c r="B3" t="s">
        <v>21</v>
      </c>
      <c r="C3">
        <v>178.9</v>
      </c>
      <c r="E3" t="s">
        <v>22</v>
      </c>
      <c r="F3" t="s">
        <v>17</v>
      </c>
      <c r="G3" t="s">
        <v>14</v>
      </c>
      <c r="H3">
        <v>10</v>
      </c>
      <c r="I3" s="11">
        <v>6</v>
      </c>
      <c r="J3">
        <v>-178.9</v>
      </c>
      <c r="K3" t="s">
        <v>87</v>
      </c>
    </row>
    <row r="4" spans="1:11" x14ac:dyDescent="0.35">
      <c r="A4" s="11">
        <v>44484</v>
      </c>
      <c r="B4" t="s">
        <v>21</v>
      </c>
      <c r="C4">
        <v>143.9</v>
      </c>
      <c r="E4" t="s">
        <v>22</v>
      </c>
      <c r="F4" t="s">
        <v>17</v>
      </c>
      <c r="G4" t="s">
        <v>14</v>
      </c>
      <c r="H4">
        <v>10</v>
      </c>
      <c r="I4" s="11">
        <v>6</v>
      </c>
      <c r="J4">
        <v>-143.9</v>
      </c>
      <c r="K4" t="s">
        <v>87</v>
      </c>
    </row>
    <row r="5" spans="1:11" x14ac:dyDescent="0.35">
      <c r="A5" s="11">
        <v>44477</v>
      </c>
      <c r="B5" t="s">
        <v>21</v>
      </c>
      <c r="C5">
        <v>105</v>
      </c>
      <c r="E5" t="s">
        <v>22</v>
      </c>
      <c r="F5" t="s">
        <v>17</v>
      </c>
      <c r="G5" t="s">
        <v>14</v>
      </c>
      <c r="H5">
        <v>10</v>
      </c>
      <c r="I5" s="11">
        <v>6</v>
      </c>
      <c r="J5">
        <v>-105</v>
      </c>
      <c r="K5" t="s">
        <v>87</v>
      </c>
    </row>
    <row r="6" spans="1:11" x14ac:dyDescent="0.35">
      <c r="A6" s="11">
        <v>44449</v>
      </c>
      <c r="B6" t="s">
        <v>23</v>
      </c>
      <c r="C6">
        <v>58.1</v>
      </c>
      <c r="E6" t="s">
        <v>24</v>
      </c>
      <c r="F6" t="s">
        <v>17</v>
      </c>
      <c r="G6" t="s">
        <v>14</v>
      </c>
      <c r="H6">
        <v>9</v>
      </c>
      <c r="I6" s="11">
        <v>6</v>
      </c>
      <c r="J6">
        <v>-58.1</v>
      </c>
      <c r="K6" t="s">
        <v>86</v>
      </c>
    </row>
    <row r="7" spans="1:11" x14ac:dyDescent="0.35">
      <c r="A7" s="11">
        <v>44302</v>
      </c>
      <c r="B7" t="s">
        <v>39</v>
      </c>
      <c r="C7">
        <v>40</v>
      </c>
      <c r="E7" t="s">
        <v>39</v>
      </c>
      <c r="F7" t="s">
        <v>17</v>
      </c>
      <c r="G7" t="s">
        <v>14</v>
      </c>
      <c r="H7">
        <v>4</v>
      </c>
      <c r="I7" s="11">
        <v>6</v>
      </c>
      <c r="J7">
        <v>-40</v>
      </c>
      <c r="K7" t="s">
        <v>81</v>
      </c>
    </row>
    <row r="8" spans="1:11" x14ac:dyDescent="0.35">
      <c r="A8" s="11">
        <v>44288</v>
      </c>
      <c r="B8" t="s">
        <v>15</v>
      </c>
      <c r="C8">
        <v>900</v>
      </c>
      <c r="E8" t="s">
        <v>16</v>
      </c>
      <c r="F8" t="s">
        <v>17</v>
      </c>
      <c r="G8" t="s">
        <v>14</v>
      </c>
      <c r="H8">
        <v>4</v>
      </c>
      <c r="I8" s="11">
        <v>6</v>
      </c>
      <c r="J8">
        <v>-900</v>
      </c>
      <c r="K8" t="s">
        <v>81</v>
      </c>
    </row>
    <row r="9" spans="1:11" x14ac:dyDescent="0.35">
      <c r="A9" s="11">
        <v>44281</v>
      </c>
      <c r="B9" t="s">
        <v>21</v>
      </c>
      <c r="C9">
        <v>209</v>
      </c>
      <c r="E9" t="s">
        <v>22</v>
      </c>
      <c r="F9" t="s">
        <v>17</v>
      </c>
      <c r="G9" t="s">
        <v>14</v>
      </c>
      <c r="H9">
        <v>3</v>
      </c>
      <c r="I9" s="11">
        <v>6</v>
      </c>
      <c r="J9">
        <v>-209</v>
      </c>
      <c r="K9" t="s">
        <v>80</v>
      </c>
    </row>
    <row r="10" spans="1:11" x14ac:dyDescent="0.35">
      <c r="A10" s="11">
        <v>44204</v>
      </c>
      <c r="B10" t="s">
        <v>21</v>
      </c>
      <c r="C10">
        <v>155</v>
      </c>
      <c r="E10" t="s">
        <v>22</v>
      </c>
      <c r="F10" t="s">
        <v>17</v>
      </c>
      <c r="G10" t="s">
        <v>14</v>
      </c>
      <c r="H10">
        <v>1</v>
      </c>
      <c r="I10" s="11">
        <v>6</v>
      </c>
      <c r="J10">
        <v>-155</v>
      </c>
      <c r="K10" t="s">
        <v>78</v>
      </c>
    </row>
    <row r="11" spans="1:11" x14ac:dyDescent="0.35">
      <c r="A11" s="11">
        <v>44274</v>
      </c>
      <c r="B11" t="s">
        <v>21</v>
      </c>
      <c r="C11">
        <v>171.9</v>
      </c>
      <c r="E11" t="s">
        <v>22</v>
      </c>
      <c r="F11" t="s">
        <v>17</v>
      </c>
      <c r="G11" t="s">
        <v>14</v>
      </c>
      <c r="H11">
        <v>3</v>
      </c>
      <c r="I11" s="11">
        <v>6</v>
      </c>
      <c r="J11">
        <v>-171.9</v>
      </c>
      <c r="K11" t="s">
        <v>80</v>
      </c>
    </row>
    <row r="12" spans="1:11" x14ac:dyDescent="0.35">
      <c r="A12" s="11">
        <v>44267</v>
      </c>
      <c r="B12" t="s">
        <v>21</v>
      </c>
      <c r="C12">
        <v>137</v>
      </c>
      <c r="E12" t="s">
        <v>22</v>
      </c>
      <c r="F12" t="s">
        <v>17</v>
      </c>
      <c r="G12" t="s">
        <v>14</v>
      </c>
      <c r="H12">
        <v>3</v>
      </c>
      <c r="I12" s="11">
        <v>6</v>
      </c>
      <c r="J12">
        <v>-137</v>
      </c>
      <c r="K12" t="s">
        <v>80</v>
      </c>
    </row>
    <row r="13" spans="1:11" x14ac:dyDescent="0.35">
      <c r="A13" s="11">
        <v>44260</v>
      </c>
      <c r="B13" t="s">
        <v>21</v>
      </c>
      <c r="C13">
        <v>149</v>
      </c>
      <c r="E13" t="s">
        <v>22</v>
      </c>
      <c r="F13" t="s">
        <v>17</v>
      </c>
      <c r="G13" t="s">
        <v>14</v>
      </c>
      <c r="H13">
        <v>3</v>
      </c>
      <c r="I13" s="11">
        <v>6</v>
      </c>
      <c r="J13">
        <v>-149</v>
      </c>
      <c r="K13" t="s">
        <v>80</v>
      </c>
    </row>
    <row r="14" spans="1:11" x14ac:dyDescent="0.35">
      <c r="A14" s="11">
        <v>44253</v>
      </c>
      <c r="B14" t="s">
        <v>21</v>
      </c>
      <c r="C14">
        <v>162.9</v>
      </c>
      <c r="E14" t="s">
        <v>22</v>
      </c>
      <c r="F14" t="s">
        <v>17</v>
      </c>
      <c r="G14" t="s">
        <v>14</v>
      </c>
      <c r="H14">
        <v>2</v>
      </c>
      <c r="I14" s="11">
        <v>6</v>
      </c>
      <c r="J14">
        <v>-162.9</v>
      </c>
      <c r="K14" t="s">
        <v>79</v>
      </c>
    </row>
    <row r="15" spans="1:11" x14ac:dyDescent="0.35">
      <c r="A15" s="11">
        <v>44246</v>
      </c>
      <c r="B15" t="s">
        <v>21</v>
      </c>
      <c r="C15">
        <v>171</v>
      </c>
      <c r="E15" t="s">
        <v>22</v>
      </c>
      <c r="F15" t="s">
        <v>17</v>
      </c>
      <c r="G15" t="s">
        <v>14</v>
      </c>
      <c r="H15">
        <v>2</v>
      </c>
      <c r="I15" s="11">
        <v>6</v>
      </c>
      <c r="J15">
        <v>-171</v>
      </c>
      <c r="K15" t="s">
        <v>79</v>
      </c>
    </row>
    <row r="16" spans="1:11" x14ac:dyDescent="0.35">
      <c r="A16" s="11">
        <v>44239</v>
      </c>
      <c r="B16" t="s">
        <v>21</v>
      </c>
      <c r="C16">
        <v>135.9</v>
      </c>
      <c r="E16" t="s">
        <v>22</v>
      </c>
      <c r="F16" t="s">
        <v>17</v>
      </c>
      <c r="G16" t="s">
        <v>14</v>
      </c>
      <c r="H16">
        <v>2</v>
      </c>
      <c r="I16" s="11">
        <v>6</v>
      </c>
      <c r="J16">
        <v>-135.9</v>
      </c>
      <c r="K16" t="s">
        <v>79</v>
      </c>
    </row>
    <row r="17" spans="1:11" x14ac:dyDescent="0.35">
      <c r="A17" s="11">
        <v>44211</v>
      </c>
      <c r="B17" t="s">
        <v>21</v>
      </c>
      <c r="C17">
        <v>135</v>
      </c>
      <c r="E17" t="s">
        <v>22</v>
      </c>
      <c r="F17" t="s">
        <v>17</v>
      </c>
      <c r="G17" t="s">
        <v>14</v>
      </c>
      <c r="H17">
        <v>1</v>
      </c>
      <c r="I17" s="11">
        <v>6</v>
      </c>
      <c r="J17">
        <v>-135</v>
      </c>
      <c r="K17" t="s">
        <v>78</v>
      </c>
    </row>
    <row r="18" spans="1:11" x14ac:dyDescent="0.35">
      <c r="A18" s="11">
        <v>44232</v>
      </c>
      <c r="B18" t="s">
        <v>21</v>
      </c>
      <c r="C18">
        <v>205</v>
      </c>
      <c r="E18" t="s">
        <v>22</v>
      </c>
      <c r="F18" t="s">
        <v>17</v>
      </c>
      <c r="G18" t="s">
        <v>14</v>
      </c>
      <c r="H18">
        <v>2</v>
      </c>
      <c r="I18" s="11">
        <v>6</v>
      </c>
      <c r="J18">
        <v>-205</v>
      </c>
      <c r="K18" t="s">
        <v>79</v>
      </c>
    </row>
    <row r="19" spans="1:11" x14ac:dyDescent="0.35">
      <c r="A19" s="11">
        <v>44225</v>
      </c>
      <c r="B19" t="s">
        <v>21</v>
      </c>
      <c r="C19">
        <v>162</v>
      </c>
      <c r="E19" t="s">
        <v>22</v>
      </c>
      <c r="F19" t="s">
        <v>17</v>
      </c>
      <c r="G19" t="s">
        <v>14</v>
      </c>
      <c r="H19">
        <v>1</v>
      </c>
      <c r="I19" s="11">
        <v>6</v>
      </c>
      <c r="J19">
        <v>-162</v>
      </c>
      <c r="K19" t="s">
        <v>78</v>
      </c>
    </row>
    <row r="20" spans="1:11" x14ac:dyDescent="0.35">
      <c r="A20" s="11">
        <v>44218</v>
      </c>
      <c r="B20" t="s">
        <v>21</v>
      </c>
      <c r="C20">
        <v>170</v>
      </c>
      <c r="E20" t="s">
        <v>22</v>
      </c>
      <c r="F20" t="s">
        <v>17</v>
      </c>
      <c r="G20" t="s">
        <v>14</v>
      </c>
      <c r="H20">
        <v>1</v>
      </c>
      <c r="I20" s="11">
        <v>6</v>
      </c>
      <c r="J20">
        <v>-170</v>
      </c>
      <c r="K20" t="s">
        <v>78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BB4CFA-555A-4C5E-81B3-89397DB13358}">
  <dimension ref="A1:K71"/>
  <sheetViews>
    <sheetView workbookViewId="0">
      <selection sqref="A1:K71"/>
    </sheetView>
  </sheetViews>
  <sheetFormatPr defaultRowHeight="14.4" x14ac:dyDescent="0.35"/>
  <cols>
    <col min="2" max="2" width="12.1796875" customWidth="1"/>
    <col min="5" max="5" width="14" customWidth="1"/>
    <col min="6" max="6" width="10.26953125" customWidth="1"/>
    <col min="7" max="7" width="14.81640625" customWidth="1"/>
    <col min="8" max="8" width="15.81640625" customWidth="1"/>
    <col min="9" max="9" width="10.6328125" customWidth="1"/>
    <col min="10" max="10" width="9.6328125" customWidth="1"/>
    <col min="11" max="11" width="14" customWidth="1"/>
  </cols>
  <sheetData>
    <row r="1" spans="1:11" ht="15" x14ac:dyDescent="0.35">
      <c r="A1" t="s">
        <v>0</v>
      </c>
      <c r="B1" t="s">
        <v>1</v>
      </c>
      <c r="C1" t="s">
        <v>2</v>
      </c>
      <c r="D1" t="s">
        <v>3</v>
      </c>
      <c r="E1" t="s">
        <v>4</v>
      </c>
      <c r="F1" t="s">
        <v>5</v>
      </c>
      <c r="G1" t="s">
        <v>6</v>
      </c>
      <c r="H1" t="s">
        <v>61</v>
      </c>
      <c r="I1" t="s">
        <v>62</v>
      </c>
      <c r="J1" t="s">
        <v>63</v>
      </c>
      <c r="K1" t="s">
        <v>77</v>
      </c>
    </row>
    <row r="2" spans="1:11" ht="15" x14ac:dyDescent="0.35">
      <c r="A2" s="11">
        <v>44444</v>
      </c>
      <c r="B2" t="s">
        <v>15</v>
      </c>
      <c r="C2">
        <v>900</v>
      </c>
      <c r="E2" t="s">
        <v>16</v>
      </c>
      <c r="F2" t="s">
        <v>17</v>
      </c>
      <c r="G2" t="s">
        <v>14</v>
      </c>
      <c r="H2">
        <v>9</v>
      </c>
      <c r="I2" s="11">
        <v>1</v>
      </c>
      <c r="J2">
        <v>-900</v>
      </c>
      <c r="K2" t="s">
        <v>86</v>
      </c>
    </row>
    <row r="3" spans="1:11" ht="15" x14ac:dyDescent="0.35">
      <c r="A3" s="11">
        <v>44395</v>
      </c>
      <c r="B3" t="s">
        <v>39</v>
      </c>
      <c r="C3">
        <v>40</v>
      </c>
      <c r="E3" t="s">
        <v>39</v>
      </c>
      <c r="F3" t="s">
        <v>17</v>
      </c>
      <c r="G3" t="s">
        <v>14</v>
      </c>
      <c r="H3">
        <v>7</v>
      </c>
      <c r="I3" s="11">
        <v>1</v>
      </c>
      <c r="J3">
        <v>-40</v>
      </c>
      <c r="K3" t="s">
        <v>84</v>
      </c>
    </row>
    <row r="4" spans="1:11" ht="15" x14ac:dyDescent="0.35">
      <c r="A4" s="11">
        <v>44374</v>
      </c>
      <c r="B4" t="s">
        <v>21</v>
      </c>
      <c r="C4">
        <v>166.9</v>
      </c>
      <c r="E4" t="s">
        <v>22</v>
      </c>
      <c r="F4" t="s">
        <v>17</v>
      </c>
      <c r="G4" t="s">
        <v>14</v>
      </c>
      <c r="H4">
        <v>6</v>
      </c>
      <c r="I4" s="11">
        <v>1</v>
      </c>
      <c r="J4">
        <v>-166.9</v>
      </c>
      <c r="K4" t="s">
        <v>83</v>
      </c>
    </row>
    <row r="5" spans="1:11" ht="15" x14ac:dyDescent="0.35">
      <c r="A5" s="11">
        <v>44367</v>
      </c>
      <c r="B5" t="s">
        <v>21</v>
      </c>
      <c r="C5">
        <v>234</v>
      </c>
      <c r="E5" t="s">
        <v>22</v>
      </c>
      <c r="F5" t="s">
        <v>17</v>
      </c>
      <c r="G5" t="s">
        <v>14</v>
      </c>
      <c r="H5">
        <v>6</v>
      </c>
      <c r="I5" s="11">
        <v>1</v>
      </c>
      <c r="J5">
        <v>-234</v>
      </c>
      <c r="K5" t="s">
        <v>83</v>
      </c>
    </row>
    <row r="6" spans="1:11" ht="15" x14ac:dyDescent="0.35">
      <c r="A6" s="11">
        <v>44360</v>
      </c>
      <c r="B6" t="s">
        <v>21</v>
      </c>
      <c r="C6">
        <v>140.19999999999999</v>
      </c>
      <c r="E6" t="s">
        <v>22</v>
      </c>
      <c r="F6" t="s">
        <v>17</v>
      </c>
      <c r="G6" t="s">
        <v>14</v>
      </c>
      <c r="H6">
        <v>6</v>
      </c>
      <c r="I6" s="11">
        <v>1</v>
      </c>
      <c r="J6">
        <v>-140.19999999999999</v>
      </c>
      <c r="K6" t="s">
        <v>83</v>
      </c>
    </row>
    <row r="7" spans="1:11" ht="15" x14ac:dyDescent="0.35">
      <c r="A7" s="11">
        <v>44353</v>
      </c>
      <c r="B7" t="s">
        <v>21</v>
      </c>
      <c r="C7">
        <v>119</v>
      </c>
      <c r="E7" t="s">
        <v>22</v>
      </c>
      <c r="F7" t="s">
        <v>17</v>
      </c>
      <c r="G7" t="s">
        <v>14</v>
      </c>
      <c r="H7">
        <v>6</v>
      </c>
      <c r="I7" s="11">
        <v>1</v>
      </c>
      <c r="J7">
        <v>-119</v>
      </c>
      <c r="K7" t="s">
        <v>83</v>
      </c>
    </row>
    <row r="8" spans="1:11" ht="15" x14ac:dyDescent="0.35">
      <c r="A8" s="11">
        <v>44325</v>
      </c>
      <c r="B8" t="s">
        <v>23</v>
      </c>
      <c r="C8">
        <v>54.1</v>
      </c>
      <c r="E8" t="s">
        <v>24</v>
      </c>
      <c r="F8" t="s">
        <v>17</v>
      </c>
      <c r="G8" t="s">
        <v>14</v>
      </c>
      <c r="H8">
        <v>5</v>
      </c>
      <c r="I8" s="11">
        <v>1</v>
      </c>
      <c r="J8">
        <v>-54.1</v>
      </c>
      <c r="K8" t="s">
        <v>82</v>
      </c>
    </row>
    <row r="9" spans="1:11" ht="15" x14ac:dyDescent="0.35">
      <c r="A9" s="11">
        <v>44480</v>
      </c>
      <c r="B9" t="s">
        <v>23</v>
      </c>
      <c r="C9">
        <v>59</v>
      </c>
      <c r="E9" t="s">
        <v>24</v>
      </c>
      <c r="F9" t="s">
        <v>17</v>
      </c>
      <c r="G9" t="s">
        <v>14</v>
      </c>
      <c r="H9">
        <v>10</v>
      </c>
      <c r="I9" s="11">
        <v>2</v>
      </c>
      <c r="J9">
        <v>-59</v>
      </c>
      <c r="K9" t="s">
        <v>87</v>
      </c>
    </row>
    <row r="10" spans="1:11" ht="15" x14ac:dyDescent="0.35">
      <c r="A10" s="11">
        <v>44207</v>
      </c>
      <c r="B10" t="s">
        <v>23</v>
      </c>
      <c r="C10">
        <v>50</v>
      </c>
      <c r="E10" t="s">
        <v>24</v>
      </c>
      <c r="F10" t="s">
        <v>17</v>
      </c>
      <c r="G10" t="s">
        <v>14</v>
      </c>
      <c r="H10">
        <v>1</v>
      </c>
      <c r="I10" s="11">
        <v>2</v>
      </c>
      <c r="J10">
        <v>-50</v>
      </c>
      <c r="K10" t="s">
        <v>78</v>
      </c>
    </row>
    <row r="11" spans="1:11" ht="15" x14ac:dyDescent="0.35">
      <c r="A11" s="11">
        <v>44382</v>
      </c>
      <c r="B11" t="s">
        <v>15</v>
      </c>
      <c r="C11">
        <v>900</v>
      </c>
      <c r="E11" t="s">
        <v>16</v>
      </c>
      <c r="F11" t="s">
        <v>17</v>
      </c>
      <c r="G11" t="s">
        <v>14</v>
      </c>
      <c r="H11">
        <v>7</v>
      </c>
      <c r="I11" s="11">
        <v>2</v>
      </c>
      <c r="J11">
        <v>-900</v>
      </c>
      <c r="K11" t="s">
        <v>84</v>
      </c>
    </row>
    <row r="12" spans="1:11" ht="15" x14ac:dyDescent="0.35">
      <c r="A12" s="11">
        <v>44333</v>
      </c>
      <c r="B12" t="s">
        <v>39</v>
      </c>
      <c r="C12">
        <v>40</v>
      </c>
      <c r="E12" t="s">
        <v>39</v>
      </c>
      <c r="F12" t="s">
        <v>17</v>
      </c>
      <c r="G12" t="s">
        <v>14</v>
      </c>
      <c r="H12">
        <v>5</v>
      </c>
      <c r="I12" s="11">
        <v>2</v>
      </c>
      <c r="J12">
        <v>-40</v>
      </c>
      <c r="K12" t="s">
        <v>82</v>
      </c>
    </row>
    <row r="13" spans="1:11" ht="15" x14ac:dyDescent="0.35">
      <c r="A13" s="11">
        <v>44319</v>
      </c>
      <c r="B13" t="s">
        <v>15</v>
      </c>
      <c r="C13">
        <v>900</v>
      </c>
      <c r="E13" t="s">
        <v>16</v>
      </c>
      <c r="F13" t="s">
        <v>17</v>
      </c>
      <c r="G13" t="s">
        <v>14</v>
      </c>
      <c r="H13">
        <v>5</v>
      </c>
      <c r="I13" s="11">
        <v>2</v>
      </c>
      <c r="J13">
        <v>-900</v>
      </c>
      <c r="K13" t="s">
        <v>82</v>
      </c>
    </row>
    <row r="14" spans="1:11" ht="15" x14ac:dyDescent="0.35">
      <c r="A14" s="11">
        <v>44312</v>
      </c>
      <c r="B14" t="s">
        <v>21</v>
      </c>
      <c r="C14">
        <v>164.9</v>
      </c>
      <c r="E14" t="s">
        <v>22</v>
      </c>
      <c r="F14" t="s">
        <v>17</v>
      </c>
      <c r="G14" t="s">
        <v>14</v>
      </c>
      <c r="H14">
        <v>4</v>
      </c>
      <c r="I14" s="11">
        <v>2</v>
      </c>
      <c r="J14">
        <v>-164.9</v>
      </c>
      <c r="K14" t="s">
        <v>81</v>
      </c>
    </row>
    <row r="15" spans="1:11" ht="15" x14ac:dyDescent="0.35">
      <c r="A15" s="11">
        <v>44305</v>
      </c>
      <c r="B15" t="s">
        <v>21</v>
      </c>
      <c r="C15">
        <v>173</v>
      </c>
      <c r="E15" t="s">
        <v>22</v>
      </c>
      <c r="F15" t="s">
        <v>17</v>
      </c>
      <c r="G15" t="s">
        <v>14</v>
      </c>
      <c r="H15">
        <v>4</v>
      </c>
      <c r="I15" s="11">
        <v>2</v>
      </c>
      <c r="J15">
        <v>-173</v>
      </c>
      <c r="K15" t="s">
        <v>81</v>
      </c>
    </row>
    <row r="16" spans="1:11" ht="15" x14ac:dyDescent="0.35">
      <c r="A16" s="11">
        <v>44298</v>
      </c>
      <c r="B16" t="s">
        <v>21</v>
      </c>
      <c r="C16">
        <v>98</v>
      </c>
      <c r="E16" t="s">
        <v>22</v>
      </c>
      <c r="F16" t="s">
        <v>17</v>
      </c>
      <c r="G16" t="s">
        <v>14</v>
      </c>
      <c r="H16">
        <v>4</v>
      </c>
      <c r="I16" s="11">
        <v>2</v>
      </c>
      <c r="J16">
        <v>-98</v>
      </c>
      <c r="K16" t="s">
        <v>81</v>
      </c>
    </row>
    <row r="17" spans="1:11" ht="15" x14ac:dyDescent="0.35">
      <c r="A17" s="11">
        <v>44235</v>
      </c>
      <c r="B17" t="s">
        <v>23</v>
      </c>
      <c r="C17">
        <v>51.1</v>
      </c>
      <c r="E17" t="s">
        <v>24</v>
      </c>
      <c r="F17" t="s">
        <v>17</v>
      </c>
      <c r="G17" t="s">
        <v>14</v>
      </c>
      <c r="H17">
        <v>2</v>
      </c>
      <c r="I17" s="11">
        <v>2</v>
      </c>
      <c r="J17">
        <v>-51.1</v>
      </c>
      <c r="K17" t="s">
        <v>79</v>
      </c>
    </row>
    <row r="18" spans="1:11" ht="15" x14ac:dyDescent="0.35">
      <c r="A18" s="11">
        <v>44291</v>
      </c>
      <c r="B18" t="s">
        <v>21</v>
      </c>
      <c r="C18">
        <v>158.19999999999999</v>
      </c>
      <c r="E18" t="s">
        <v>22</v>
      </c>
      <c r="F18" t="s">
        <v>17</v>
      </c>
      <c r="G18" t="s">
        <v>14</v>
      </c>
      <c r="H18">
        <v>4</v>
      </c>
      <c r="I18" s="11">
        <v>2</v>
      </c>
      <c r="J18">
        <v>-158.19999999999999</v>
      </c>
      <c r="K18" t="s">
        <v>81</v>
      </c>
    </row>
    <row r="19" spans="1:11" ht="15" x14ac:dyDescent="0.35">
      <c r="A19" s="11">
        <v>44263</v>
      </c>
      <c r="B19" t="s">
        <v>23</v>
      </c>
      <c r="C19">
        <v>52.1</v>
      </c>
      <c r="E19" t="s">
        <v>24</v>
      </c>
      <c r="F19" t="s">
        <v>17</v>
      </c>
      <c r="G19" t="s">
        <v>14</v>
      </c>
      <c r="H19">
        <v>3</v>
      </c>
      <c r="I19" s="11">
        <v>2</v>
      </c>
      <c r="J19">
        <v>-52.1</v>
      </c>
      <c r="K19" t="s">
        <v>80</v>
      </c>
    </row>
    <row r="20" spans="1:11" ht="15" x14ac:dyDescent="0.35">
      <c r="A20" s="11">
        <v>44201</v>
      </c>
      <c r="B20" t="s">
        <v>15</v>
      </c>
      <c r="C20">
        <v>900</v>
      </c>
      <c r="E20" t="s">
        <v>16</v>
      </c>
      <c r="F20" t="s">
        <v>17</v>
      </c>
      <c r="G20" t="s">
        <v>14</v>
      </c>
      <c r="H20">
        <v>1</v>
      </c>
      <c r="I20" s="11">
        <v>3</v>
      </c>
      <c r="J20">
        <v>-900</v>
      </c>
      <c r="K20" t="s">
        <v>78</v>
      </c>
    </row>
    <row r="21" spans="1:11" ht="15" x14ac:dyDescent="0.35">
      <c r="A21" s="11">
        <v>44488</v>
      </c>
      <c r="B21" t="s">
        <v>39</v>
      </c>
      <c r="C21">
        <v>40</v>
      </c>
      <c r="E21" t="s">
        <v>39</v>
      </c>
      <c r="F21" t="s">
        <v>17</v>
      </c>
      <c r="G21" t="s">
        <v>14</v>
      </c>
      <c r="H21">
        <v>10</v>
      </c>
      <c r="I21" s="11">
        <v>3</v>
      </c>
      <c r="J21">
        <v>-40</v>
      </c>
      <c r="K21" t="s">
        <v>87</v>
      </c>
    </row>
    <row r="22" spans="1:11" ht="15" x14ac:dyDescent="0.35">
      <c r="A22" s="11">
        <v>44467</v>
      </c>
      <c r="B22" t="s">
        <v>21</v>
      </c>
      <c r="C22">
        <v>223</v>
      </c>
      <c r="E22" t="s">
        <v>22</v>
      </c>
      <c r="F22" t="s">
        <v>17</v>
      </c>
      <c r="G22" t="s">
        <v>14</v>
      </c>
      <c r="H22">
        <v>9</v>
      </c>
      <c r="I22" s="11">
        <v>3</v>
      </c>
      <c r="J22">
        <v>-223</v>
      </c>
      <c r="K22" t="s">
        <v>86</v>
      </c>
    </row>
    <row r="23" spans="1:11" ht="15" x14ac:dyDescent="0.35">
      <c r="A23" s="11">
        <v>44460</v>
      </c>
      <c r="B23" t="s">
        <v>21</v>
      </c>
      <c r="C23">
        <v>177.9</v>
      </c>
      <c r="E23" t="s">
        <v>22</v>
      </c>
      <c r="F23" t="s">
        <v>17</v>
      </c>
      <c r="G23" t="s">
        <v>14</v>
      </c>
      <c r="H23">
        <v>9</v>
      </c>
      <c r="I23" s="11">
        <v>3</v>
      </c>
      <c r="J23">
        <v>-177.9</v>
      </c>
      <c r="K23" t="s">
        <v>86</v>
      </c>
    </row>
    <row r="24" spans="1:11" ht="15" x14ac:dyDescent="0.35">
      <c r="A24" s="11">
        <v>44453</v>
      </c>
      <c r="B24" t="s">
        <v>21</v>
      </c>
      <c r="C24">
        <v>143</v>
      </c>
      <c r="E24" t="s">
        <v>22</v>
      </c>
      <c r="F24" t="s">
        <v>17</v>
      </c>
      <c r="G24" t="s">
        <v>14</v>
      </c>
      <c r="H24">
        <v>9</v>
      </c>
      <c r="I24" s="11">
        <v>3</v>
      </c>
      <c r="J24">
        <v>-143</v>
      </c>
      <c r="K24" t="s">
        <v>86</v>
      </c>
    </row>
    <row r="25" spans="1:11" ht="15" x14ac:dyDescent="0.35">
      <c r="A25" s="11">
        <v>44446</v>
      </c>
      <c r="B25" t="s">
        <v>21</v>
      </c>
      <c r="C25">
        <v>163.39999999999998</v>
      </c>
      <c r="E25" t="s">
        <v>22</v>
      </c>
      <c r="F25" t="s">
        <v>17</v>
      </c>
      <c r="G25" t="s">
        <v>14</v>
      </c>
      <c r="H25">
        <v>9</v>
      </c>
      <c r="I25" s="11">
        <v>3</v>
      </c>
      <c r="J25">
        <v>-163.39999999999998</v>
      </c>
      <c r="K25" t="s">
        <v>86</v>
      </c>
    </row>
    <row r="26" spans="1:11" ht="15" x14ac:dyDescent="0.35">
      <c r="A26" s="11">
        <v>44418</v>
      </c>
      <c r="B26" t="s">
        <v>23</v>
      </c>
      <c r="C26">
        <v>57</v>
      </c>
      <c r="E26" t="s">
        <v>24</v>
      </c>
      <c r="F26" t="s">
        <v>17</v>
      </c>
      <c r="G26" t="s">
        <v>14</v>
      </c>
      <c r="H26">
        <v>8</v>
      </c>
      <c r="I26" s="11">
        <v>3</v>
      </c>
      <c r="J26">
        <v>-57</v>
      </c>
      <c r="K26" t="s">
        <v>85</v>
      </c>
    </row>
    <row r="27" spans="1:11" ht="15" x14ac:dyDescent="0.35">
      <c r="A27" s="11">
        <v>44215</v>
      </c>
      <c r="B27" t="s">
        <v>39</v>
      </c>
      <c r="C27">
        <v>40</v>
      </c>
      <c r="E27" t="s">
        <v>39</v>
      </c>
      <c r="F27" t="s">
        <v>17</v>
      </c>
      <c r="G27" t="s">
        <v>14</v>
      </c>
      <c r="H27">
        <v>1</v>
      </c>
      <c r="I27" s="11">
        <v>3</v>
      </c>
      <c r="J27">
        <v>-40</v>
      </c>
      <c r="K27" t="s">
        <v>78</v>
      </c>
    </row>
    <row r="28" spans="1:11" ht="15" x14ac:dyDescent="0.35">
      <c r="A28" s="11">
        <v>44229</v>
      </c>
      <c r="B28" t="s">
        <v>15</v>
      </c>
      <c r="C28">
        <v>900</v>
      </c>
      <c r="E28" t="s">
        <v>16</v>
      </c>
      <c r="F28" t="s">
        <v>17</v>
      </c>
      <c r="G28" t="s">
        <v>14</v>
      </c>
      <c r="H28">
        <v>2</v>
      </c>
      <c r="I28" s="11">
        <v>3</v>
      </c>
      <c r="J28">
        <v>-900</v>
      </c>
      <c r="K28" t="s">
        <v>79</v>
      </c>
    </row>
    <row r="29" spans="1:11" ht="15" x14ac:dyDescent="0.35">
      <c r="A29" s="11">
        <v>44271</v>
      </c>
      <c r="B29" t="s">
        <v>39</v>
      </c>
      <c r="C29">
        <v>40</v>
      </c>
      <c r="E29" t="s">
        <v>39</v>
      </c>
      <c r="F29" t="s">
        <v>17</v>
      </c>
      <c r="G29" t="s">
        <v>14</v>
      </c>
      <c r="H29">
        <v>3</v>
      </c>
      <c r="I29" s="11">
        <v>3</v>
      </c>
      <c r="J29">
        <v>-40</v>
      </c>
      <c r="K29" t="s">
        <v>80</v>
      </c>
    </row>
    <row r="30" spans="1:11" ht="15" x14ac:dyDescent="0.35">
      <c r="A30" s="11">
        <v>44257</v>
      </c>
      <c r="B30" t="s">
        <v>15</v>
      </c>
      <c r="C30">
        <v>900</v>
      </c>
      <c r="E30" t="s">
        <v>16</v>
      </c>
      <c r="F30" t="s">
        <v>17</v>
      </c>
      <c r="G30" t="s">
        <v>14</v>
      </c>
      <c r="H30">
        <v>3</v>
      </c>
      <c r="I30" s="11">
        <v>3</v>
      </c>
      <c r="J30">
        <v>-900</v>
      </c>
      <c r="K30" t="s">
        <v>80</v>
      </c>
    </row>
    <row r="31" spans="1:11" ht="15" x14ac:dyDescent="0.35">
      <c r="A31" s="11">
        <v>44243</v>
      </c>
      <c r="B31" t="s">
        <v>39</v>
      </c>
      <c r="C31">
        <v>40</v>
      </c>
      <c r="E31" t="s">
        <v>39</v>
      </c>
      <c r="F31" t="s">
        <v>17</v>
      </c>
      <c r="G31" t="s">
        <v>14</v>
      </c>
      <c r="H31">
        <v>2</v>
      </c>
      <c r="I31" s="11">
        <v>3</v>
      </c>
      <c r="J31">
        <v>-40</v>
      </c>
      <c r="K31" t="s">
        <v>79</v>
      </c>
    </row>
    <row r="32" spans="1:11" ht="15" x14ac:dyDescent="0.35">
      <c r="A32" s="11">
        <v>44475</v>
      </c>
      <c r="B32" t="s">
        <v>15</v>
      </c>
      <c r="C32">
        <v>900</v>
      </c>
      <c r="E32" t="s">
        <v>16</v>
      </c>
      <c r="F32" t="s">
        <v>17</v>
      </c>
      <c r="G32" t="s">
        <v>14</v>
      </c>
      <c r="H32">
        <v>10</v>
      </c>
      <c r="I32" s="11">
        <v>4</v>
      </c>
      <c r="J32">
        <v>-900</v>
      </c>
      <c r="K32" t="s">
        <v>87</v>
      </c>
    </row>
    <row r="33" spans="1:11" ht="15" x14ac:dyDescent="0.35">
      <c r="A33" s="11">
        <v>44426</v>
      </c>
      <c r="B33" t="s">
        <v>39</v>
      </c>
      <c r="C33">
        <v>40</v>
      </c>
      <c r="E33" t="s">
        <v>39</v>
      </c>
      <c r="F33" t="s">
        <v>17</v>
      </c>
      <c r="G33" t="s">
        <v>14</v>
      </c>
      <c r="H33">
        <v>8</v>
      </c>
      <c r="I33" s="11">
        <v>4</v>
      </c>
      <c r="J33">
        <v>-40</v>
      </c>
      <c r="K33" t="s">
        <v>85</v>
      </c>
    </row>
    <row r="34" spans="1:11" ht="15" x14ac:dyDescent="0.35">
      <c r="A34" s="11">
        <v>44405</v>
      </c>
      <c r="B34" t="s">
        <v>21</v>
      </c>
      <c r="C34">
        <v>193</v>
      </c>
      <c r="E34" t="s">
        <v>22</v>
      </c>
      <c r="F34" t="s">
        <v>17</v>
      </c>
      <c r="G34" t="s">
        <v>14</v>
      </c>
      <c r="H34">
        <v>7</v>
      </c>
      <c r="I34" s="11">
        <v>4</v>
      </c>
      <c r="J34">
        <v>-193</v>
      </c>
      <c r="K34" t="s">
        <v>84</v>
      </c>
    </row>
    <row r="35" spans="1:11" ht="15" x14ac:dyDescent="0.35">
      <c r="A35" s="11">
        <v>44398</v>
      </c>
      <c r="B35" t="s">
        <v>21</v>
      </c>
      <c r="C35">
        <v>176</v>
      </c>
      <c r="E35" t="s">
        <v>22</v>
      </c>
      <c r="F35" t="s">
        <v>17</v>
      </c>
      <c r="G35" t="s">
        <v>14</v>
      </c>
      <c r="H35">
        <v>7</v>
      </c>
      <c r="I35" s="11">
        <v>4</v>
      </c>
      <c r="J35">
        <v>-176</v>
      </c>
      <c r="K35" t="s">
        <v>84</v>
      </c>
    </row>
    <row r="36" spans="1:11" ht="15" x14ac:dyDescent="0.35">
      <c r="A36" s="11">
        <v>44391</v>
      </c>
      <c r="B36" t="s">
        <v>21</v>
      </c>
      <c r="C36">
        <v>141.1</v>
      </c>
      <c r="E36" t="s">
        <v>22</v>
      </c>
      <c r="F36" t="s">
        <v>17</v>
      </c>
      <c r="G36" t="s">
        <v>14</v>
      </c>
      <c r="H36">
        <v>7</v>
      </c>
      <c r="I36" s="11">
        <v>4</v>
      </c>
      <c r="J36">
        <v>-141.1</v>
      </c>
      <c r="K36" t="s">
        <v>84</v>
      </c>
    </row>
    <row r="37" spans="1:11" ht="15" x14ac:dyDescent="0.35">
      <c r="A37" s="11">
        <v>44384</v>
      </c>
      <c r="B37" t="s">
        <v>21</v>
      </c>
      <c r="C37">
        <v>180</v>
      </c>
      <c r="E37" t="s">
        <v>22</v>
      </c>
      <c r="F37" t="s">
        <v>17</v>
      </c>
      <c r="G37" t="s">
        <v>14</v>
      </c>
      <c r="H37">
        <v>7</v>
      </c>
      <c r="I37" s="11">
        <v>4</v>
      </c>
      <c r="J37">
        <v>-180</v>
      </c>
      <c r="K37" t="s">
        <v>84</v>
      </c>
    </row>
    <row r="38" spans="1:11" ht="15" x14ac:dyDescent="0.35">
      <c r="A38" s="11">
        <v>44356</v>
      </c>
      <c r="B38" t="s">
        <v>23</v>
      </c>
      <c r="C38">
        <v>55</v>
      </c>
      <c r="E38" t="s">
        <v>24</v>
      </c>
      <c r="F38" t="s">
        <v>17</v>
      </c>
      <c r="G38" t="s">
        <v>14</v>
      </c>
      <c r="H38">
        <v>6</v>
      </c>
      <c r="I38" s="11">
        <v>4</v>
      </c>
      <c r="J38">
        <v>-55</v>
      </c>
      <c r="K38" t="s">
        <v>83</v>
      </c>
    </row>
    <row r="39" spans="1:11" ht="15" x14ac:dyDescent="0.35">
      <c r="A39" s="11">
        <v>44413</v>
      </c>
      <c r="B39" t="s">
        <v>15</v>
      </c>
      <c r="C39">
        <v>900</v>
      </c>
      <c r="E39" t="s">
        <v>16</v>
      </c>
      <c r="F39" t="s">
        <v>17</v>
      </c>
      <c r="G39" t="s">
        <v>14</v>
      </c>
      <c r="H39">
        <v>8</v>
      </c>
      <c r="I39" s="11">
        <v>5</v>
      </c>
      <c r="J39">
        <v>-900</v>
      </c>
      <c r="K39" t="s">
        <v>85</v>
      </c>
    </row>
    <row r="40" spans="1:11" ht="15" x14ac:dyDescent="0.35">
      <c r="A40" s="11">
        <v>44364</v>
      </c>
      <c r="B40" t="s">
        <v>39</v>
      </c>
      <c r="C40">
        <v>40</v>
      </c>
      <c r="E40" t="s">
        <v>39</v>
      </c>
      <c r="F40" t="s">
        <v>17</v>
      </c>
      <c r="G40" t="s">
        <v>14</v>
      </c>
      <c r="H40">
        <v>6</v>
      </c>
      <c r="I40" s="11">
        <v>5</v>
      </c>
      <c r="J40">
        <v>-40</v>
      </c>
      <c r="K40" t="s">
        <v>83</v>
      </c>
    </row>
    <row r="41" spans="1:11" ht="15" x14ac:dyDescent="0.35">
      <c r="A41" s="11">
        <v>44350</v>
      </c>
      <c r="B41" t="s">
        <v>15</v>
      </c>
      <c r="C41">
        <v>900</v>
      </c>
      <c r="E41" t="s">
        <v>16</v>
      </c>
      <c r="F41" t="s">
        <v>17</v>
      </c>
      <c r="G41" t="s">
        <v>14</v>
      </c>
      <c r="H41">
        <v>6</v>
      </c>
      <c r="I41" s="11">
        <v>5</v>
      </c>
      <c r="J41">
        <v>-900</v>
      </c>
      <c r="K41" t="s">
        <v>83</v>
      </c>
    </row>
    <row r="42" spans="1:11" ht="15" x14ac:dyDescent="0.35">
      <c r="A42" s="11">
        <v>44343</v>
      </c>
      <c r="B42" t="s">
        <v>21</v>
      </c>
      <c r="C42">
        <v>165.8</v>
      </c>
      <c r="E42" t="s">
        <v>22</v>
      </c>
      <c r="F42" t="s">
        <v>17</v>
      </c>
      <c r="G42" t="s">
        <v>14</v>
      </c>
      <c r="H42">
        <v>5</v>
      </c>
      <c r="I42" s="11">
        <v>5</v>
      </c>
      <c r="J42">
        <v>-165.8</v>
      </c>
      <c r="K42" t="s">
        <v>82</v>
      </c>
    </row>
    <row r="43" spans="1:11" ht="15" x14ac:dyDescent="0.35">
      <c r="A43" s="11">
        <v>44336</v>
      </c>
      <c r="B43" t="s">
        <v>21</v>
      </c>
      <c r="C43">
        <v>174</v>
      </c>
      <c r="E43" t="s">
        <v>22</v>
      </c>
      <c r="F43" t="s">
        <v>17</v>
      </c>
      <c r="G43" t="s">
        <v>14</v>
      </c>
      <c r="H43">
        <v>5</v>
      </c>
      <c r="I43" s="11">
        <v>5</v>
      </c>
      <c r="J43">
        <v>-174</v>
      </c>
      <c r="K43" t="s">
        <v>82</v>
      </c>
    </row>
    <row r="44" spans="1:11" ht="15" x14ac:dyDescent="0.35">
      <c r="A44" s="11">
        <v>44329</v>
      </c>
      <c r="B44" t="s">
        <v>21</v>
      </c>
      <c r="C44">
        <v>139.1</v>
      </c>
      <c r="E44" t="s">
        <v>22</v>
      </c>
      <c r="F44" t="s">
        <v>17</v>
      </c>
      <c r="G44" t="s">
        <v>14</v>
      </c>
      <c r="H44">
        <v>5</v>
      </c>
      <c r="I44" s="11">
        <v>5</v>
      </c>
      <c r="J44">
        <v>-139.1</v>
      </c>
      <c r="K44" t="s">
        <v>82</v>
      </c>
    </row>
    <row r="45" spans="1:11" ht="15" x14ac:dyDescent="0.35">
      <c r="A45" s="11">
        <v>44322</v>
      </c>
      <c r="B45" t="s">
        <v>21</v>
      </c>
      <c r="C45">
        <v>170</v>
      </c>
      <c r="E45" t="s">
        <v>22</v>
      </c>
      <c r="F45" t="s">
        <v>17</v>
      </c>
      <c r="G45" t="s">
        <v>14</v>
      </c>
      <c r="H45">
        <v>5</v>
      </c>
      <c r="I45" s="11">
        <v>5</v>
      </c>
      <c r="J45">
        <v>-170</v>
      </c>
      <c r="K45" t="s">
        <v>82</v>
      </c>
    </row>
    <row r="46" spans="1:11" ht="15" x14ac:dyDescent="0.35">
      <c r="A46" s="11">
        <v>44294</v>
      </c>
      <c r="B46" t="s">
        <v>23</v>
      </c>
      <c r="C46">
        <v>53.2</v>
      </c>
      <c r="E46" t="s">
        <v>24</v>
      </c>
      <c r="F46" t="s">
        <v>17</v>
      </c>
      <c r="G46" t="s">
        <v>14</v>
      </c>
      <c r="H46">
        <v>4</v>
      </c>
      <c r="I46" s="11">
        <v>5</v>
      </c>
      <c r="J46">
        <v>-53.2</v>
      </c>
      <c r="K46" t="s">
        <v>81</v>
      </c>
    </row>
    <row r="47" spans="1:11" ht="15" x14ac:dyDescent="0.35">
      <c r="A47" s="11">
        <v>44498</v>
      </c>
      <c r="B47" t="s">
        <v>21</v>
      </c>
      <c r="C47">
        <v>189</v>
      </c>
      <c r="E47" t="s">
        <v>22</v>
      </c>
      <c r="F47" t="s">
        <v>17</v>
      </c>
      <c r="G47" t="s">
        <v>14</v>
      </c>
      <c r="H47">
        <v>10</v>
      </c>
      <c r="I47" s="11">
        <v>6</v>
      </c>
      <c r="J47">
        <v>-189</v>
      </c>
      <c r="K47" t="s">
        <v>87</v>
      </c>
    </row>
    <row r="48" spans="1:11" ht="15" x14ac:dyDescent="0.35">
      <c r="A48" s="11">
        <v>44491</v>
      </c>
      <c r="B48" t="s">
        <v>21</v>
      </c>
      <c r="C48">
        <v>178.9</v>
      </c>
      <c r="E48" t="s">
        <v>22</v>
      </c>
      <c r="F48" t="s">
        <v>17</v>
      </c>
      <c r="G48" t="s">
        <v>14</v>
      </c>
      <c r="H48">
        <v>10</v>
      </c>
      <c r="I48" s="11">
        <v>6</v>
      </c>
      <c r="J48">
        <v>-178.9</v>
      </c>
      <c r="K48" t="s">
        <v>87</v>
      </c>
    </row>
    <row r="49" spans="1:11" ht="15" x14ac:dyDescent="0.35">
      <c r="A49" s="11">
        <v>44484</v>
      </c>
      <c r="B49" t="s">
        <v>21</v>
      </c>
      <c r="C49">
        <v>143.9</v>
      </c>
      <c r="E49" t="s">
        <v>22</v>
      </c>
      <c r="F49" t="s">
        <v>17</v>
      </c>
      <c r="G49" t="s">
        <v>14</v>
      </c>
      <c r="H49">
        <v>10</v>
      </c>
      <c r="I49" s="11">
        <v>6</v>
      </c>
      <c r="J49">
        <v>-143.9</v>
      </c>
      <c r="K49" t="s">
        <v>87</v>
      </c>
    </row>
    <row r="50" spans="1:11" ht="15" x14ac:dyDescent="0.35">
      <c r="A50" s="11">
        <v>44477</v>
      </c>
      <c r="B50" t="s">
        <v>21</v>
      </c>
      <c r="C50">
        <v>105</v>
      </c>
      <c r="E50" t="s">
        <v>22</v>
      </c>
      <c r="F50" t="s">
        <v>17</v>
      </c>
      <c r="G50" t="s">
        <v>14</v>
      </c>
      <c r="H50">
        <v>10</v>
      </c>
      <c r="I50" s="11">
        <v>6</v>
      </c>
      <c r="J50">
        <v>-105</v>
      </c>
      <c r="K50" t="s">
        <v>87</v>
      </c>
    </row>
    <row r="51" spans="1:11" ht="15" x14ac:dyDescent="0.35">
      <c r="A51" s="11">
        <v>44204</v>
      </c>
      <c r="B51" t="s">
        <v>21</v>
      </c>
      <c r="C51">
        <v>155</v>
      </c>
      <c r="E51" t="s">
        <v>22</v>
      </c>
      <c r="F51" t="s">
        <v>17</v>
      </c>
      <c r="G51" t="s">
        <v>14</v>
      </c>
      <c r="H51">
        <v>1</v>
      </c>
      <c r="I51" s="11">
        <v>6</v>
      </c>
      <c r="J51">
        <v>-155</v>
      </c>
      <c r="K51" t="s">
        <v>78</v>
      </c>
    </row>
    <row r="52" spans="1:11" ht="15" x14ac:dyDescent="0.35">
      <c r="A52" s="11">
        <v>44449</v>
      </c>
      <c r="B52" t="s">
        <v>23</v>
      </c>
      <c r="C52">
        <v>58.1</v>
      </c>
      <c r="E52" t="s">
        <v>24</v>
      </c>
      <c r="F52" t="s">
        <v>17</v>
      </c>
      <c r="G52" t="s">
        <v>14</v>
      </c>
      <c r="H52">
        <v>9</v>
      </c>
      <c r="I52" s="11">
        <v>6</v>
      </c>
      <c r="J52">
        <v>-58.1</v>
      </c>
      <c r="K52" t="s">
        <v>86</v>
      </c>
    </row>
    <row r="53" spans="1:11" ht="15" x14ac:dyDescent="0.35">
      <c r="A53" s="11">
        <v>44211</v>
      </c>
      <c r="B53" t="s">
        <v>21</v>
      </c>
      <c r="C53">
        <v>135</v>
      </c>
      <c r="E53" t="s">
        <v>22</v>
      </c>
      <c r="F53" t="s">
        <v>17</v>
      </c>
      <c r="G53" t="s">
        <v>14</v>
      </c>
      <c r="H53">
        <v>1</v>
      </c>
      <c r="I53" s="11">
        <v>6</v>
      </c>
      <c r="J53">
        <v>-135</v>
      </c>
      <c r="K53" t="s">
        <v>78</v>
      </c>
    </row>
    <row r="54" spans="1:11" ht="15" x14ac:dyDescent="0.35">
      <c r="A54" s="11">
        <v>44218</v>
      </c>
      <c r="B54" t="s">
        <v>21</v>
      </c>
      <c r="C54">
        <v>170</v>
      </c>
      <c r="E54" t="s">
        <v>22</v>
      </c>
      <c r="F54" t="s">
        <v>17</v>
      </c>
      <c r="G54" t="s">
        <v>14</v>
      </c>
      <c r="H54">
        <v>1</v>
      </c>
      <c r="I54" s="11">
        <v>6</v>
      </c>
      <c r="J54">
        <v>-170</v>
      </c>
      <c r="K54" t="s">
        <v>78</v>
      </c>
    </row>
    <row r="55" spans="1:11" ht="15" x14ac:dyDescent="0.35">
      <c r="A55" s="11">
        <v>44225</v>
      </c>
      <c r="B55" t="s">
        <v>21</v>
      </c>
      <c r="C55">
        <v>162</v>
      </c>
      <c r="E55" t="s">
        <v>22</v>
      </c>
      <c r="F55" t="s">
        <v>17</v>
      </c>
      <c r="G55" t="s">
        <v>14</v>
      </c>
      <c r="H55">
        <v>1</v>
      </c>
      <c r="I55" s="11">
        <v>6</v>
      </c>
      <c r="J55">
        <v>-162</v>
      </c>
      <c r="K55" t="s">
        <v>78</v>
      </c>
    </row>
    <row r="56" spans="1:11" ht="15" x14ac:dyDescent="0.35">
      <c r="A56" s="11">
        <v>44302</v>
      </c>
      <c r="B56" t="s">
        <v>39</v>
      </c>
      <c r="C56">
        <v>40</v>
      </c>
      <c r="E56" t="s">
        <v>39</v>
      </c>
      <c r="F56" t="s">
        <v>17</v>
      </c>
      <c r="G56" t="s">
        <v>14</v>
      </c>
      <c r="H56">
        <v>4</v>
      </c>
      <c r="I56" s="11">
        <v>6</v>
      </c>
      <c r="J56">
        <v>-40</v>
      </c>
      <c r="K56" t="s">
        <v>81</v>
      </c>
    </row>
    <row r="57" spans="1:11" ht="15" x14ac:dyDescent="0.35">
      <c r="A57" s="11">
        <v>44232</v>
      </c>
      <c r="B57" t="s">
        <v>21</v>
      </c>
      <c r="C57">
        <v>205</v>
      </c>
      <c r="E57" t="s">
        <v>22</v>
      </c>
      <c r="F57" t="s">
        <v>17</v>
      </c>
      <c r="G57" t="s">
        <v>14</v>
      </c>
      <c r="H57">
        <v>2</v>
      </c>
      <c r="I57" s="11">
        <v>6</v>
      </c>
      <c r="J57">
        <v>-205</v>
      </c>
      <c r="K57" t="s">
        <v>79</v>
      </c>
    </row>
    <row r="58" spans="1:11" ht="15" x14ac:dyDescent="0.35">
      <c r="A58" s="11">
        <v>44288</v>
      </c>
      <c r="B58" t="s">
        <v>15</v>
      </c>
      <c r="C58">
        <v>900</v>
      </c>
      <c r="E58" t="s">
        <v>16</v>
      </c>
      <c r="F58" t="s">
        <v>17</v>
      </c>
      <c r="G58" t="s">
        <v>14</v>
      </c>
      <c r="H58">
        <v>4</v>
      </c>
      <c r="I58" s="11">
        <v>6</v>
      </c>
      <c r="J58">
        <v>-900</v>
      </c>
      <c r="K58" t="s">
        <v>81</v>
      </c>
    </row>
    <row r="59" spans="1:11" ht="15" x14ac:dyDescent="0.35">
      <c r="A59" s="11">
        <v>44281</v>
      </c>
      <c r="B59" t="s">
        <v>21</v>
      </c>
      <c r="C59">
        <v>209</v>
      </c>
      <c r="E59" t="s">
        <v>22</v>
      </c>
      <c r="F59" t="s">
        <v>17</v>
      </c>
      <c r="G59" t="s">
        <v>14</v>
      </c>
      <c r="H59">
        <v>3</v>
      </c>
      <c r="I59" s="11">
        <v>6</v>
      </c>
      <c r="J59">
        <v>-209</v>
      </c>
      <c r="K59" t="s">
        <v>80</v>
      </c>
    </row>
    <row r="60" spans="1:11" ht="15" x14ac:dyDescent="0.35">
      <c r="A60" s="11">
        <v>44274</v>
      </c>
      <c r="B60" t="s">
        <v>21</v>
      </c>
      <c r="C60">
        <v>171.9</v>
      </c>
      <c r="E60" t="s">
        <v>22</v>
      </c>
      <c r="F60" t="s">
        <v>17</v>
      </c>
      <c r="G60" t="s">
        <v>14</v>
      </c>
      <c r="H60">
        <v>3</v>
      </c>
      <c r="I60" s="11">
        <v>6</v>
      </c>
      <c r="J60">
        <v>-171.9</v>
      </c>
      <c r="K60" t="s">
        <v>80</v>
      </c>
    </row>
    <row r="61" spans="1:11" ht="15" x14ac:dyDescent="0.35">
      <c r="A61" s="11">
        <v>44239</v>
      </c>
      <c r="B61" t="s">
        <v>21</v>
      </c>
      <c r="C61">
        <v>135.9</v>
      </c>
      <c r="E61" t="s">
        <v>22</v>
      </c>
      <c r="F61" t="s">
        <v>17</v>
      </c>
      <c r="G61" t="s">
        <v>14</v>
      </c>
      <c r="H61">
        <v>2</v>
      </c>
      <c r="I61" s="11">
        <v>6</v>
      </c>
      <c r="J61">
        <v>-135.9</v>
      </c>
      <c r="K61" t="s">
        <v>79</v>
      </c>
    </row>
    <row r="62" spans="1:11" ht="15" x14ac:dyDescent="0.35">
      <c r="A62" s="11">
        <v>44267</v>
      </c>
      <c r="B62" t="s">
        <v>21</v>
      </c>
      <c r="C62">
        <v>137</v>
      </c>
      <c r="E62" t="s">
        <v>22</v>
      </c>
      <c r="F62" t="s">
        <v>17</v>
      </c>
      <c r="G62" t="s">
        <v>14</v>
      </c>
      <c r="H62">
        <v>3</v>
      </c>
      <c r="I62" s="11">
        <v>6</v>
      </c>
      <c r="J62">
        <v>-137</v>
      </c>
      <c r="K62" t="s">
        <v>80</v>
      </c>
    </row>
    <row r="63" spans="1:11" ht="15" x14ac:dyDescent="0.35">
      <c r="A63" s="11">
        <v>44260</v>
      </c>
      <c r="B63" t="s">
        <v>21</v>
      </c>
      <c r="C63">
        <v>149</v>
      </c>
      <c r="E63" t="s">
        <v>22</v>
      </c>
      <c r="F63" t="s">
        <v>17</v>
      </c>
      <c r="G63" t="s">
        <v>14</v>
      </c>
      <c r="H63">
        <v>3</v>
      </c>
      <c r="I63" s="11">
        <v>6</v>
      </c>
      <c r="J63">
        <v>-149</v>
      </c>
      <c r="K63" t="s">
        <v>80</v>
      </c>
    </row>
    <row r="64" spans="1:11" ht="15" x14ac:dyDescent="0.35">
      <c r="A64" s="11">
        <v>44253</v>
      </c>
      <c r="B64" t="s">
        <v>21</v>
      </c>
      <c r="C64">
        <v>162.9</v>
      </c>
      <c r="E64" t="s">
        <v>22</v>
      </c>
      <c r="F64" t="s">
        <v>17</v>
      </c>
      <c r="G64" t="s">
        <v>14</v>
      </c>
      <c r="H64">
        <v>2</v>
      </c>
      <c r="I64" s="11">
        <v>6</v>
      </c>
      <c r="J64">
        <v>-162.9</v>
      </c>
      <c r="K64" t="s">
        <v>79</v>
      </c>
    </row>
    <row r="65" spans="1:11" ht="15" x14ac:dyDescent="0.35">
      <c r="A65" s="11">
        <v>44246</v>
      </c>
      <c r="B65" t="s">
        <v>21</v>
      </c>
      <c r="C65">
        <v>171</v>
      </c>
      <c r="E65" t="s">
        <v>22</v>
      </c>
      <c r="F65" t="s">
        <v>17</v>
      </c>
      <c r="G65" t="s">
        <v>14</v>
      </c>
      <c r="H65">
        <v>2</v>
      </c>
      <c r="I65" s="11">
        <v>6</v>
      </c>
      <c r="J65">
        <v>-171</v>
      </c>
      <c r="K65" t="s">
        <v>79</v>
      </c>
    </row>
    <row r="66" spans="1:11" ht="15" x14ac:dyDescent="0.35">
      <c r="A66" s="11">
        <v>44457</v>
      </c>
      <c r="B66" t="s">
        <v>39</v>
      </c>
      <c r="C66">
        <v>40</v>
      </c>
      <c r="E66" t="s">
        <v>39</v>
      </c>
      <c r="F66" t="s">
        <v>17</v>
      </c>
      <c r="G66" t="s">
        <v>14</v>
      </c>
      <c r="H66">
        <v>9</v>
      </c>
      <c r="I66" s="11">
        <v>7</v>
      </c>
      <c r="J66">
        <v>-40</v>
      </c>
      <c r="K66" t="s">
        <v>86</v>
      </c>
    </row>
    <row r="67" spans="1:11" ht="15" x14ac:dyDescent="0.35">
      <c r="A67" s="11">
        <v>44436</v>
      </c>
      <c r="B67" t="s">
        <v>21</v>
      </c>
      <c r="C67">
        <v>117</v>
      </c>
      <c r="E67" t="s">
        <v>22</v>
      </c>
      <c r="F67" t="s">
        <v>17</v>
      </c>
      <c r="G67" t="s">
        <v>14</v>
      </c>
      <c r="H67">
        <v>8</v>
      </c>
      <c r="I67" s="11">
        <v>7</v>
      </c>
      <c r="J67">
        <v>-117</v>
      </c>
      <c r="K67" t="s">
        <v>85</v>
      </c>
    </row>
    <row r="68" spans="1:11" ht="15" x14ac:dyDescent="0.35">
      <c r="A68" s="11">
        <v>44429</v>
      </c>
      <c r="B68" t="s">
        <v>21</v>
      </c>
      <c r="C68">
        <v>177</v>
      </c>
      <c r="E68" t="s">
        <v>22</v>
      </c>
      <c r="F68" t="s">
        <v>17</v>
      </c>
      <c r="G68" t="s">
        <v>14</v>
      </c>
      <c r="H68">
        <v>8</v>
      </c>
      <c r="I68" s="11">
        <v>7</v>
      </c>
      <c r="J68">
        <v>-177</v>
      </c>
      <c r="K68" t="s">
        <v>85</v>
      </c>
    </row>
    <row r="69" spans="1:11" ht="15" x14ac:dyDescent="0.35">
      <c r="A69" s="11">
        <v>44422</v>
      </c>
      <c r="B69" t="s">
        <v>21</v>
      </c>
      <c r="C69">
        <v>142.1</v>
      </c>
      <c r="E69" t="s">
        <v>22</v>
      </c>
      <c r="F69" t="s">
        <v>17</v>
      </c>
      <c r="G69" t="s">
        <v>14</v>
      </c>
      <c r="H69">
        <v>8</v>
      </c>
      <c r="I69" s="11">
        <v>7</v>
      </c>
      <c r="J69">
        <v>-142.1</v>
      </c>
      <c r="K69" t="s">
        <v>85</v>
      </c>
    </row>
    <row r="70" spans="1:11" ht="15" x14ac:dyDescent="0.35">
      <c r="A70" s="11">
        <v>44415</v>
      </c>
      <c r="B70" t="s">
        <v>21</v>
      </c>
      <c r="C70">
        <v>137</v>
      </c>
      <c r="E70" t="s">
        <v>22</v>
      </c>
      <c r="F70" t="s">
        <v>17</v>
      </c>
      <c r="G70" t="s">
        <v>14</v>
      </c>
      <c r="H70">
        <v>8</v>
      </c>
      <c r="I70" s="11">
        <v>7</v>
      </c>
      <c r="J70">
        <v>-137</v>
      </c>
      <c r="K70" t="s">
        <v>85</v>
      </c>
    </row>
    <row r="71" spans="1:11" ht="15" x14ac:dyDescent="0.35">
      <c r="A71" s="11">
        <v>44387</v>
      </c>
      <c r="B71" t="s">
        <v>23</v>
      </c>
      <c r="C71">
        <v>56.1</v>
      </c>
      <c r="E71" t="s">
        <v>24</v>
      </c>
      <c r="F71" t="s">
        <v>17</v>
      </c>
      <c r="G71" t="s">
        <v>14</v>
      </c>
      <c r="H71">
        <v>7</v>
      </c>
      <c r="I71" s="11">
        <v>7</v>
      </c>
      <c r="J71">
        <v>-56.1</v>
      </c>
      <c r="K71" t="s">
        <v>84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F07BB8-12BF-4992-B789-386AB1D1DD55}">
  <dimension ref="A1:K20"/>
  <sheetViews>
    <sheetView workbookViewId="0">
      <selection activeCell="J23" sqref="J23"/>
    </sheetView>
  </sheetViews>
  <sheetFormatPr defaultRowHeight="15" x14ac:dyDescent="0.35"/>
  <cols>
    <col min="2" max="2" width="12.1796875" customWidth="1"/>
    <col min="5" max="5" width="14" customWidth="1"/>
    <col min="6" max="6" width="10.26953125" customWidth="1"/>
    <col min="7" max="7" width="14.81640625" customWidth="1"/>
    <col min="8" max="8" width="15.81640625" customWidth="1"/>
    <col min="9" max="9" width="10.6328125" customWidth="1"/>
    <col min="10" max="10" width="9.6328125" customWidth="1"/>
    <col min="11" max="11" width="14" customWidth="1"/>
  </cols>
  <sheetData>
    <row r="1" spans="1:11" x14ac:dyDescent="0.35">
      <c r="A1" t="s">
        <v>0</v>
      </c>
      <c r="B1" t="s">
        <v>1</v>
      </c>
      <c r="C1" t="s">
        <v>2</v>
      </c>
      <c r="D1" t="s">
        <v>3</v>
      </c>
      <c r="E1" t="s">
        <v>4</v>
      </c>
      <c r="F1" t="s">
        <v>5</v>
      </c>
      <c r="G1" t="s">
        <v>6</v>
      </c>
      <c r="H1" t="s">
        <v>61</v>
      </c>
      <c r="I1" t="s">
        <v>62</v>
      </c>
      <c r="J1" t="s">
        <v>63</v>
      </c>
      <c r="K1" t="s">
        <v>77</v>
      </c>
    </row>
    <row r="2" spans="1:11" x14ac:dyDescent="0.35">
      <c r="A2" s="11">
        <v>44498</v>
      </c>
      <c r="B2" t="s">
        <v>21</v>
      </c>
      <c r="C2">
        <v>189</v>
      </c>
      <c r="E2" t="s">
        <v>22</v>
      </c>
      <c r="F2" t="s">
        <v>17</v>
      </c>
      <c r="G2" t="s">
        <v>14</v>
      </c>
      <c r="H2">
        <v>10</v>
      </c>
      <c r="I2" s="11">
        <v>6</v>
      </c>
      <c r="J2">
        <v>-189</v>
      </c>
      <c r="K2" t="s">
        <v>87</v>
      </c>
    </row>
    <row r="3" spans="1:11" x14ac:dyDescent="0.35">
      <c r="A3" s="11">
        <v>44491</v>
      </c>
      <c r="B3" t="s">
        <v>21</v>
      </c>
      <c r="C3">
        <v>178.9</v>
      </c>
      <c r="E3" t="s">
        <v>22</v>
      </c>
      <c r="F3" t="s">
        <v>17</v>
      </c>
      <c r="G3" t="s">
        <v>14</v>
      </c>
      <c r="H3">
        <v>10</v>
      </c>
      <c r="I3" s="11">
        <v>6</v>
      </c>
      <c r="J3">
        <v>-178.9</v>
      </c>
      <c r="K3" t="s">
        <v>87</v>
      </c>
    </row>
    <row r="4" spans="1:11" x14ac:dyDescent="0.35">
      <c r="A4" s="11">
        <v>44484</v>
      </c>
      <c r="B4" t="s">
        <v>21</v>
      </c>
      <c r="C4">
        <v>143.9</v>
      </c>
      <c r="E4" t="s">
        <v>22</v>
      </c>
      <c r="F4" t="s">
        <v>17</v>
      </c>
      <c r="G4" t="s">
        <v>14</v>
      </c>
      <c r="H4">
        <v>10</v>
      </c>
      <c r="I4" s="11">
        <v>6</v>
      </c>
      <c r="J4">
        <v>-143.9</v>
      </c>
      <c r="K4" t="s">
        <v>87</v>
      </c>
    </row>
    <row r="5" spans="1:11" x14ac:dyDescent="0.35">
      <c r="A5" s="11">
        <v>44477</v>
      </c>
      <c r="B5" t="s">
        <v>21</v>
      </c>
      <c r="C5">
        <v>105</v>
      </c>
      <c r="E5" t="s">
        <v>22</v>
      </c>
      <c r="F5" t="s">
        <v>17</v>
      </c>
      <c r="G5" t="s">
        <v>14</v>
      </c>
      <c r="H5">
        <v>10</v>
      </c>
      <c r="I5" s="11">
        <v>6</v>
      </c>
      <c r="J5">
        <v>-105</v>
      </c>
      <c r="K5" t="s">
        <v>87</v>
      </c>
    </row>
    <row r="6" spans="1:11" x14ac:dyDescent="0.35">
      <c r="A6" s="11">
        <v>44449</v>
      </c>
      <c r="B6" t="s">
        <v>23</v>
      </c>
      <c r="C6">
        <v>58.1</v>
      </c>
      <c r="E6" t="s">
        <v>24</v>
      </c>
      <c r="F6" t="s">
        <v>17</v>
      </c>
      <c r="G6" t="s">
        <v>14</v>
      </c>
      <c r="H6">
        <v>9</v>
      </c>
      <c r="I6" s="11">
        <v>6</v>
      </c>
      <c r="J6">
        <v>-58.1</v>
      </c>
      <c r="K6" t="s">
        <v>86</v>
      </c>
    </row>
    <row r="7" spans="1:11" x14ac:dyDescent="0.35">
      <c r="A7" s="11">
        <v>44302</v>
      </c>
      <c r="B7" t="s">
        <v>39</v>
      </c>
      <c r="C7">
        <v>40</v>
      </c>
      <c r="E7" t="s">
        <v>39</v>
      </c>
      <c r="F7" t="s">
        <v>17</v>
      </c>
      <c r="G7" t="s">
        <v>14</v>
      </c>
      <c r="H7">
        <v>4</v>
      </c>
      <c r="I7" s="11">
        <v>6</v>
      </c>
      <c r="J7">
        <v>-40</v>
      </c>
      <c r="K7" t="s">
        <v>81</v>
      </c>
    </row>
    <row r="8" spans="1:11" x14ac:dyDescent="0.35">
      <c r="A8" s="11">
        <v>44288</v>
      </c>
      <c r="B8" t="s">
        <v>15</v>
      </c>
      <c r="C8">
        <v>900</v>
      </c>
      <c r="E8" t="s">
        <v>16</v>
      </c>
      <c r="F8" t="s">
        <v>17</v>
      </c>
      <c r="G8" t="s">
        <v>14</v>
      </c>
      <c r="H8">
        <v>4</v>
      </c>
      <c r="I8" s="11">
        <v>6</v>
      </c>
      <c r="J8">
        <v>-900</v>
      </c>
      <c r="K8" t="s">
        <v>81</v>
      </c>
    </row>
    <row r="9" spans="1:11" x14ac:dyDescent="0.35">
      <c r="A9" s="11">
        <v>44281</v>
      </c>
      <c r="B9" t="s">
        <v>21</v>
      </c>
      <c r="C9">
        <v>209</v>
      </c>
      <c r="E9" t="s">
        <v>22</v>
      </c>
      <c r="F9" t="s">
        <v>17</v>
      </c>
      <c r="G9" t="s">
        <v>14</v>
      </c>
      <c r="H9">
        <v>3</v>
      </c>
      <c r="I9" s="11">
        <v>6</v>
      </c>
      <c r="J9">
        <v>-209</v>
      </c>
      <c r="K9" t="s">
        <v>80</v>
      </c>
    </row>
    <row r="10" spans="1:11" x14ac:dyDescent="0.35">
      <c r="A10" s="11">
        <v>44204</v>
      </c>
      <c r="B10" t="s">
        <v>21</v>
      </c>
      <c r="C10">
        <v>155</v>
      </c>
      <c r="E10" t="s">
        <v>22</v>
      </c>
      <c r="F10" t="s">
        <v>17</v>
      </c>
      <c r="G10" t="s">
        <v>14</v>
      </c>
      <c r="H10">
        <v>1</v>
      </c>
      <c r="I10" s="11">
        <v>6</v>
      </c>
      <c r="J10">
        <v>-155</v>
      </c>
      <c r="K10" t="s">
        <v>78</v>
      </c>
    </row>
    <row r="11" spans="1:11" x14ac:dyDescent="0.35">
      <c r="A11" s="11">
        <v>44274</v>
      </c>
      <c r="B11" t="s">
        <v>21</v>
      </c>
      <c r="C11">
        <v>171.9</v>
      </c>
      <c r="E11" t="s">
        <v>22</v>
      </c>
      <c r="F11" t="s">
        <v>17</v>
      </c>
      <c r="G11" t="s">
        <v>14</v>
      </c>
      <c r="H11">
        <v>3</v>
      </c>
      <c r="I11" s="11">
        <v>6</v>
      </c>
      <c r="J11">
        <v>-171.9</v>
      </c>
      <c r="K11" t="s">
        <v>80</v>
      </c>
    </row>
    <row r="12" spans="1:11" x14ac:dyDescent="0.35">
      <c r="A12" s="11">
        <v>44267</v>
      </c>
      <c r="B12" t="s">
        <v>21</v>
      </c>
      <c r="C12">
        <v>137</v>
      </c>
      <c r="E12" t="s">
        <v>22</v>
      </c>
      <c r="F12" t="s">
        <v>17</v>
      </c>
      <c r="G12" t="s">
        <v>14</v>
      </c>
      <c r="H12">
        <v>3</v>
      </c>
      <c r="I12" s="11">
        <v>6</v>
      </c>
      <c r="J12">
        <v>-137</v>
      </c>
      <c r="K12" t="s">
        <v>80</v>
      </c>
    </row>
    <row r="13" spans="1:11" x14ac:dyDescent="0.35">
      <c r="A13" s="11">
        <v>44260</v>
      </c>
      <c r="B13" t="s">
        <v>21</v>
      </c>
      <c r="C13">
        <v>149</v>
      </c>
      <c r="E13" t="s">
        <v>22</v>
      </c>
      <c r="F13" t="s">
        <v>17</v>
      </c>
      <c r="G13" t="s">
        <v>14</v>
      </c>
      <c r="H13">
        <v>3</v>
      </c>
      <c r="I13" s="11">
        <v>6</v>
      </c>
      <c r="J13">
        <v>-149</v>
      </c>
      <c r="K13" t="s">
        <v>80</v>
      </c>
    </row>
    <row r="14" spans="1:11" x14ac:dyDescent="0.35">
      <c r="A14" s="11">
        <v>44253</v>
      </c>
      <c r="B14" t="s">
        <v>21</v>
      </c>
      <c r="C14">
        <v>162.9</v>
      </c>
      <c r="E14" t="s">
        <v>22</v>
      </c>
      <c r="F14" t="s">
        <v>17</v>
      </c>
      <c r="G14" t="s">
        <v>14</v>
      </c>
      <c r="H14">
        <v>2</v>
      </c>
      <c r="I14" s="11">
        <v>6</v>
      </c>
      <c r="J14">
        <v>-162.9</v>
      </c>
      <c r="K14" t="s">
        <v>79</v>
      </c>
    </row>
    <row r="15" spans="1:11" x14ac:dyDescent="0.35">
      <c r="A15" s="11">
        <v>44246</v>
      </c>
      <c r="B15" t="s">
        <v>21</v>
      </c>
      <c r="C15">
        <v>171</v>
      </c>
      <c r="E15" t="s">
        <v>22</v>
      </c>
      <c r="F15" t="s">
        <v>17</v>
      </c>
      <c r="G15" t="s">
        <v>14</v>
      </c>
      <c r="H15">
        <v>2</v>
      </c>
      <c r="I15" s="11">
        <v>6</v>
      </c>
      <c r="J15">
        <v>-171</v>
      </c>
      <c r="K15" t="s">
        <v>79</v>
      </c>
    </row>
    <row r="16" spans="1:11" x14ac:dyDescent="0.35">
      <c r="A16" s="11">
        <v>44239</v>
      </c>
      <c r="B16" t="s">
        <v>21</v>
      </c>
      <c r="C16">
        <v>135.9</v>
      </c>
      <c r="E16" t="s">
        <v>22</v>
      </c>
      <c r="F16" t="s">
        <v>17</v>
      </c>
      <c r="G16" t="s">
        <v>14</v>
      </c>
      <c r="H16">
        <v>2</v>
      </c>
      <c r="I16" s="11">
        <v>6</v>
      </c>
      <c r="J16">
        <v>-135.9</v>
      </c>
      <c r="K16" t="s">
        <v>79</v>
      </c>
    </row>
    <row r="17" spans="1:11" x14ac:dyDescent="0.35">
      <c r="A17" s="11">
        <v>44211</v>
      </c>
      <c r="B17" t="s">
        <v>21</v>
      </c>
      <c r="C17">
        <v>135</v>
      </c>
      <c r="E17" t="s">
        <v>22</v>
      </c>
      <c r="F17" t="s">
        <v>17</v>
      </c>
      <c r="G17" t="s">
        <v>14</v>
      </c>
      <c r="H17">
        <v>1</v>
      </c>
      <c r="I17" s="11">
        <v>6</v>
      </c>
      <c r="J17">
        <v>-135</v>
      </c>
      <c r="K17" t="s">
        <v>78</v>
      </c>
    </row>
    <row r="18" spans="1:11" x14ac:dyDescent="0.35">
      <c r="A18" s="11">
        <v>44232</v>
      </c>
      <c r="B18" t="s">
        <v>21</v>
      </c>
      <c r="C18">
        <v>205</v>
      </c>
      <c r="E18" t="s">
        <v>22</v>
      </c>
      <c r="F18" t="s">
        <v>17</v>
      </c>
      <c r="G18" t="s">
        <v>14</v>
      </c>
      <c r="H18">
        <v>2</v>
      </c>
      <c r="I18" s="11">
        <v>6</v>
      </c>
      <c r="J18">
        <v>-205</v>
      </c>
      <c r="K18" t="s">
        <v>79</v>
      </c>
    </row>
    <row r="19" spans="1:11" x14ac:dyDescent="0.35">
      <c r="A19" s="11">
        <v>44225</v>
      </c>
      <c r="B19" t="s">
        <v>21</v>
      </c>
      <c r="C19">
        <v>162</v>
      </c>
      <c r="E19" t="s">
        <v>22</v>
      </c>
      <c r="F19" t="s">
        <v>17</v>
      </c>
      <c r="G19" t="s">
        <v>14</v>
      </c>
      <c r="H19">
        <v>1</v>
      </c>
      <c r="I19" s="11">
        <v>6</v>
      </c>
      <c r="J19">
        <v>-162</v>
      </c>
      <c r="K19" t="s">
        <v>78</v>
      </c>
    </row>
    <row r="20" spans="1:11" x14ac:dyDescent="0.35">
      <c r="A20" s="11">
        <v>44218</v>
      </c>
      <c r="B20" t="s">
        <v>21</v>
      </c>
      <c r="C20">
        <v>170</v>
      </c>
      <c r="E20" t="s">
        <v>22</v>
      </c>
      <c r="F20" t="s">
        <v>17</v>
      </c>
      <c r="G20" t="s">
        <v>14</v>
      </c>
      <c r="H20">
        <v>1</v>
      </c>
      <c r="I20" s="11">
        <v>6</v>
      </c>
      <c r="J20">
        <v>-170</v>
      </c>
      <c r="K20" t="s">
        <v>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51F179-5CB8-4EFB-ADD7-D407D8C71024}">
  <dimension ref="A1:N274"/>
  <sheetViews>
    <sheetView topLeftCell="E1" zoomScale="83" workbookViewId="0">
      <selection activeCell="N110" sqref="N110"/>
    </sheetView>
  </sheetViews>
  <sheetFormatPr defaultRowHeight="15" x14ac:dyDescent="0.35"/>
  <cols>
    <col min="7" max="7" width="11.453125" bestFit="1" customWidth="1"/>
    <col min="8" max="8" width="15.08984375" bestFit="1" customWidth="1"/>
    <col min="9" max="9" width="11.453125" bestFit="1" customWidth="1"/>
    <col min="10" max="10" width="8.6328125" bestFit="1" customWidth="1"/>
    <col min="11" max="11" width="9.1796875" bestFit="1" customWidth="1"/>
    <col min="12" max="12" width="6.54296875" bestFit="1" customWidth="1"/>
    <col min="13" max="13" width="7.08984375" bestFit="1" customWidth="1"/>
    <col min="14" max="14" width="10.6328125" customWidth="1"/>
    <col min="15" max="15" width="14" customWidth="1"/>
    <col min="16" max="16" width="8.81640625" bestFit="1" customWidth="1"/>
  </cols>
  <sheetData>
    <row r="1" spans="1:8" x14ac:dyDescent="0.35">
      <c r="A1" s="8" t="s">
        <v>100</v>
      </c>
    </row>
    <row r="2" spans="1:8" x14ac:dyDescent="0.35">
      <c r="B2" s="1" t="s">
        <v>0</v>
      </c>
    </row>
    <row r="3" spans="1:8" x14ac:dyDescent="0.35">
      <c r="B3" s="1">
        <v>44200</v>
      </c>
    </row>
    <row r="4" spans="1:8" x14ac:dyDescent="0.35">
      <c r="B4" s="1">
        <v>44201</v>
      </c>
      <c r="D4" t="s">
        <v>65</v>
      </c>
      <c r="E4" s="1">
        <f>MIN(B:B)</f>
        <v>44200</v>
      </c>
      <c r="G4" s="3" t="s">
        <v>5</v>
      </c>
      <c r="H4" t="s">
        <v>68</v>
      </c>
    </row>
    <row r="5" spans="1:8" x14ac:dyDescent="0.35">
      <c r="B5" s="1">
        <v>44202</v>
      </c>
      <c r="D5" t="s">
        <v>66</v>
      </c>
      <c r="E5" s="1">
        <f>MAX(B:B)</f>
        <v>44500</v>
      </c>
      <c r="G5" t="s">
        <v>9</v>
      </c>
      <c r="H5" s="5">
        <v>50000</v>
      </c>
    </row>
    <row r="6" spans="1:8" x14ac:dyDescent="0.35">
      <c r="B6" s="1">
        <v>44203</v>
      </c>
      <c r="G6" t="s">
        <v>37</v>
      </c>
      <c r="H6" s="5">
        <v>15440</v>
      </c>
    </row>
    <row r="7" spans="1:8" x14ac:dyDescent="0.35">
      <c r="B7" s="1">
        <v>44204</v>
      </c>
      <c r="G7" t="s">
        <v>17</v>
      </c>
      <c r="H7" s="5">
        <v>-16399.800000000003</v>
      </c>
    </row>
    <row r="8" spans="1:8" x14ac:dyDescent="0.35">
      <c r="B8" s="1">
        <v>44207</v>
      </c>
      <c r="G8" t="s">
        <v>28</v>
      </c>
      <c r="H8" s="5">
        <v>-7027.6000000000013</v>
      </c>
    </row>
    <row r="9" spans="1:8" x14ac:dyDescent="0.35">
      <c r="B9" s="1">
        <v>44208</v>
      </c>
      <c r="G9" t="s">
        <v>20</v>
      </c>
      <c r="H9" s="5">
        <v>-3514.6999999999994</v>
      </c>
    </row>
    <row r="10" spans="1:8" x14ac:dyDescent="0.35">
      <c r="B10" s="1">
        <v>44209</v>
      </c>
      <c r="G10" t="s">
        <v>13</v>
      </c>
      <c r="H10" s="5">
        <v>-2473.8999999999996</v>
      </c>
    </row>
    <row r="11" spans="1:8" x14ac:dyDescent="0.35">
      <c r="B11" s="1">
        <v>44210</v>
      </c>
      <c r="G11" t="s">
        <v>54</v>
      </c>
      <c r="H11" s="5">
        <v>-225</v>
      </c>
    </row>
    <row r="12" spans="1:8" x14ac:dyDescent="0.35">
      <c r="B12" s="1">
        <v>44211</v>
      </c>
      <c r="G12" t="s">
        <v>67</v>
      </c>
      <c r="H12" s="5">
        <v>35799</v>
      </c>
    </row>
    <row r="13" spans="1:8" x14ac:dyDescent="0.35">
      <c r="B13" s="1">
        <v>44212</v>
      </c>
    </row>
    <row r="14" spans="1:8" x14ac:dyDescent="0.35">
      <c r="B14" s="1">
        <v>44213</v>
      </c>
    </row>
    <row r="15" spans="1:8" x14ac:dyDescent="0.35">
      <c r="B15" s="1">
        <v>44214</v>
      </c>
      <c r="G15" s="3" t="s">
        <v>6</v>
      </c>
      <c r="H15" t="s">
        <v>14</v>
      </c>
    </row>
    <row r="16" spans="1:8" x14ac:dyDescent="0.35">
      <c r="B16" s="1">
        <v>44215</v>
      </c>
    </row>
    <row r="17" spans="2:9" x14ac:dyDescent="0.35">
      <c r="B17" s="1">
        <v>44216</v>
      </c>
      <c r="G17" s="3" t="s">
        <v>4</v>
      </c>
      <c r="H17" t="s">
        <v>69</v>
      </c>
    </row>
    <row r="18" spans="2:9" x14ac:dyDescent="0.35">
      <c r="B18" s="1">
        <v>44217</v>
      </c>
      <c r="G18" t="s">
        <v>16</v>
      </c>
      <c r="H18" s="5">
        <v>900</v>
      </c>
    </row>
    <row r="19" spans="2:9" x14ac:dyDescent="0.35">
      <c r="B19" s="1">
        <v>44218</v>
      </c>
      <c r="G19" t="s">
        <v>22</v>
      </c>
      <c r="H19" s="5">
        <v>616.79999999999995</v>
      </c>
    </row>
    <row r="20" spans="2:9" x14ac:dyDescent="0.35">
      <c r="B20" s="1">
        <v>44219</v>
      </c>
      <c r="G20" t="s">
        <v>30</v>
      </c>
      <c r="H20" s="5">
        <v>395</v>
      </c>
    </row>
    <row r="21" spans="2:9" x14ac:dyDescent="0.35">
      <c r="B21" s="1">
        <v>44220</v>
      </c>
      <c r="G21" t="s">
        <v>27</v>
      </c>
      <c r="H21" s="5">
        <v>268.2</v>
      </c>
    </row>
    <row r="22" spans="2:9" x14ac:dyDescent="0.35">
      <c r="B22" s="1">
        <v>44221</v>
      </c>
      <c r="G22" t="s">
        <v>48</v>
      </c>
      <c r="H22" s="5">
        <v>157.9</v>
      </c>
    </row>
    <row r="23" spans="2:9" x14ac:dyDescent="0.35">
      <c r="B23" s="1">
        <v>44222</v>
      </c>
      <c r="G23" t="s">
        <v>67</v>
      </c>
      <c r="H23" s="5">
        <v>2337.9</v>
      </c>
    </row>
    <row r="24" spans="2:9" x14ac:dyDescent="0.35">
      <c r="B24" s="1">
        <v>44223</v>
      </c>
    </row>
    <row r="25" spans="2:9" x14ac:dyDescent="0.35">
      <c r="B25" s="1">
        <v>44224</v>
      </c>
    </row>
    <row r="26" spans="2:9" x14ac:dyDescent="0.35">
      <c r="B26" s="1">
        <v>44225</v>
      </c>
    </row>
    <row r="27" spans="2:9" x14ac:dyDescent="0.35">
      <c r="B27" s="1">
        <v>44226</v>
      </c>
      <c r="G27" t="s">
        <v>70</v>
      </c>
    </row>
    <row r="28" spans="2:9" x14ac:dyDescent="0.35">
      <c r="B28" s="1">
        <v>44227</v>
      </c>
    </row>
    <row r="29" spans="2:9" x14ac:dyDescent="0.35">
      <c r="B29" s="1">
        <v>44228</v>
      </c>
      <c r="G29" t="s">
        <v>69</v>
      </c>
      <c r="H29" t="s">
        <v>71</v>
      </c>
      <c r="I29" t="s">
        <v>68</v>
      </c>
    </row>
    <row r="30" spans="2:9" x14ac:dyDescent="0.35">
      <c r="B30" s="1">
        <v>44229</v>
      </c>
      <c r="G30" s="5">
        <v>3098.7</v>
      </c>
      <c r="H30" s="5">
        <v>5100</v>
      </c>
      <c r="I30" s="5">
        <v>2001.3000000000002</v>
      </c>
    </row>
    <row r="31" spans="2:9" x14ac:dyDescent="0.35">
      <c r="B31" s="1">
        <v>44230</v>
      </c>
    </row>
    <row r="32" spans="2:9" x14ac:dyDescent="0.35">
      <c r="B32" s="1">
        <v>44231</v>
      </c>
    </row>
    <row r="33" spans="2:9" x14ac:dyDescent="0.35">
      <c r="B33" s="1">
        <v>44232</v>
      </c>
    </row>
    <row r="34" spans="2:9" x14ac:dyDescent="0.35">
      <c r="B34" s="1">
        <v>44235</v>
      </c>
    </row>
    <row r="35" spans="2:9" x14ac:dyDescent="0.35">
      <c r="B35" s="1">
        <v>44236</v>
      </c>
    </row>
    <row r="36" spans="2:9" x14ac:dyDescent="0.35">
      <c r="B36" s="1">
        <v>44237</v>
      </c>
    </row>
    <row r="37" spans="2:9" x14ac:dyDescent="0.35">
      <c r="B37" s="1">
        <v>44238</v>
      </c>
      <c r="G37" t="s">
        <v>72</v>
      </c>
    </row>
    <row r="38" spans="2:9" x14ac:dyDescent="0.35">
      <c r="B38" s="1">
        <v>44239</v>
      </c>
      <c r="G38" s="3" t="s">
        <v>6</v>
      </c>
      <c r="H38" t="s">
        <v>10</v>
      </c>
    </row>
    <row r="39" spans="2:9" x14ac:dyDescent="0.35">
      <c r="B39" s="1">
        <v>44240</v>
      </c>
    </row>
    <row r="40" spans="2:9" x14ac:dyDescent="0.35">
      <c r="B40" s="1">
        <v>44241</v>
      </c>
      <c r="G40" s="3" t="s">
        <v>4</v>
      </c>
      <c r="H40" t="s">
        <v>68</v>
      </c>
    </row>
    <row r="41" spans="2:9" x14ac:dyDescent="0.35">
      <c r="B41" s="1">
        <v>44242</v>
      </c>
      <c r="G41" t="s">
        <v>73</v>
      </c>
      <c r="H41" s="5">
        <v>50000</v>
      </c>
      <c r="I41" s="5">
        <v>50000</v>
      </c>
    </row>
    <row r="42" spans="2:9" x14ac:dyDescent="0.35">
      <c r="B42" s="1">
        <v>44243</v>
      </c>
      <c r="G42" t="s">
        <v>38</v>
      </c>
      <c r="H42" s="5">
        <v>4500</v>
      </c>
      <c r="I42" s="5">
        <v>4500</v>
      </c>
    </row>
    <row r="43" spans="2:9" x14ac:dyDescent="0.35">
      <c r="B43" s="1">
        <v>44244</v>
      </c>
      <c r="G43" t="s">
        <v>36</v>
      </c>
      <c r="H43" s="5">
        <v>10940</v>
      </c>
      <c r="I43" s="5">
        <v>10940</v>
      </c>
    </row>
    <row r="44" spans="2:9" x14ac:dyDescent="0.35">
      <c r="B44" s="1">
        <v>44245</v>
      </c>
      <c r="G44" t="s">
        <v>67</v>
      </c>
      <c r="H44" s="5">
        <v>65440</v>
      </c>
      <c r="I44" s="6">
        <v>65440</v>
      </c>
    </row>
    <row r="45" spans="2:9" x14ac:dyDescent="0.35">
      <c r="B45" s="1">
        <v>44246</v>
      </c>
    </row>
    <row r="46" spans="2:9" x14ac:dyDescent="0.35">
      <c r="B46" s="1">
        <v>44247</v>
      </c>
    </row>
    <row r="47" spans="2:9" x14ac:dyDescent="0.35">
      <c r="B47" s="1">
        <v>44248</v>
      </c>
    </row>
    <row r="48" spans="2:9" x14ac:dyDescent="0.35">
      <c r="B48" s="1">
        <v>44249</v>
      </c>
      <c r="G48" t="s">
        <v>74</v>
      </c>
    </row>
    <row r="49" spans="2:13" x14ac:dyDescent="0.35">
      <c r="B49" s="1">
        <v>44250</v>
      </c>
      <c r="G49" s="4"/>
      <c r="H49" s="4"/>
    </row>
    <row r="50" spans="2:13" x14ac:dyDescent="0.35">
      <c r="B50" s="1">
        <v>44251</v>
      </c>
      <c r="G50" s="3" t="s">
        <v>6</v>
      </c>
      <c r="H50" t="s">
        <v>14</v>
      </c>
    </row>
    <row r="51" spans="2:13" x14ac:dyDescent="0.35">
      <c r="B51" s="1">
        <v>44252</v>
      </c>
    </row>
    <row r="52" spans="2:13" x14ac:dyDescent="0.35">
      <c r="B52" s="1">
        <v>44253</v>
      </c>
      <c r="G52" s="3" t="s">
        <v>69</v>
      </c>
      <c r="H52" s="3" t="s">
        <v>5</v>
      </c>
    </row>
    <row r="53" spans="2:13" x14ac:dyDescent="0.35">
      <c r="B53" s="1">
        <v>44254</v>
      </c>
      <c r="G53" s="3" t="s">
        <v>62</v>
      </c>
      <c r="H53" t="s">
        <v>17</v>
      </c>
      <c r="I53" t="s">
        <v>28</v>
      </c>
      <c r="J53" t="s">
        <v>20</v>
      </c>
      <c r="K53" t="s">
        <v>13</v>
      </c>
      <c r="L53" t="s">
        <v>47</v>
      </c>
      <c r="M53" t="s">
        <v>54</v>
      </c>
    </row>
    <row r="54" spans="2:13" x14ac:dyDescent="0.35">
      <c r="B54" s="1">
        <v>44255</v>
      </c>
      <c r="G54" s="2">
        <v>1</v>
      </c>
      <c r="H54" s="5"/>
      <c r="I54" s="5">
        <v>154.49999999999997</v>
      </c>
      <c r="J54" s="5">
        <v>69.300000000000011</v>
      </c>
      <c r="K54" s="5">
        <v>41.099999999999994</v>
      </c>
      <c r="L54" s="5"/>
      <c r="M54" s="5"/>
    </row>
    <row r="55" spans="2:13" x14ac:dyDescent="0.35">
      <c r="B55" s="1">
        <v>44256</v>
      </c>
      <c r="G55" s="2">
        <v>2</v>
      </c>
      <c r="H55" s="5">
        <v>59</v>
      </c>
      <c r="I55" s="5"/>
      <c r="J55" s="5">
        <v>71.500000000000028</v>
      </c>
      <c r="K55" s="5">
        <v>20</v>
      </c>
      <c r="L55" s="5">
        <v>55</v>
      </c>
      <c r="M55" s="5"/>
    </row>
    <row r="56" spans="2:13" x14ac:dyDescent="0.35">
      <c r="B56" s="1">
        <v>44257</v>
      </c>
      <c r="G56" s="2">
        <v>3</v>
      </c>
      <c r="H56" s="5">
        <v>40</v>
      </c>
      <c r="I56" s="5"/>
      <c r="J56" s="5"/>
      <c r="K56" s="5">
        <v>15</v>
      </c>
      <c r="L56" s="5"/>
      <c r="M56" s="5">
        <v>75</v>
      </c>
    </row>
    <row r="57" spans="2:13" x14ac:dyDescent="0.35">
      <c r="B57" s="1">
        <v>44258</v>
      </c>
      <c r="G57" s="2">
        <v>4</v>
      </c>
      <c r="H57" s="5">
        <v>900</v>
      </c>
      <c r="I57" s="5">
        <v>89.1</v>
      </c>
      <c r="J57" s="5">
        <v>236.39999999999998</v>
      </c>
      <c r="K57" s="5">
        <v>25</v>
      </c>
      <c r="L57" s="5"/>
      <c r="M57" s="5"/>
    </row>
    <row r="58" spans="2:13" x14ac:dyDescent="0.35">
      <c r="B58" s="1">
        <v>44259</v>
      </c>
      <c r="G58" s="2">
        <v>5</v>
      </c>
      <c r="H58" s="5"/>
      <c r="I58" s="5"/>
      <c r="J58" s="5"/>
      <c r="K58" s="5">
        <v>20</v>
      </c>
      <c r="L58" s="5"/>
      <c r="M58" s="5"/>
    </row>
    <row r="59" spans="2:13" x14ac:dyDescent="0.35">
      <c r="B59" s="1">
        <v>44260</v>
      </c>
      <c r="G59" s="2">
        <v>6</v>
      </c>
      <c r="H59" s="5">
        <v>616.79999999999995</v>
      </c>
      <c r="I59" s="5"/>
      <c r="J59" s="5"/>
      <c r="K59" s="5">
        <v>25</v>
      </c>
      <c r="L59" s="5"/>
      <c r="M59" s="5"/>
    </row>
    <row r="60" spans="2:13" x14ac:dyDescent="0.35">
      <c r="B60" s="1">
        <v>44263</v>
      </c>
      <c r="G60" s="2">
        <v>7</v>
      </c>
      <c r="H60" s="5"/>
      <c r="I60" s="5">
        <v>473.7</v>
      </c>
      <c r="J60" s="5"/>
      <c r="K60" s="5">
        <v>112.30000000000001</v>
      </c>
      <c r="L60" s="5"/>
      <c r="M60" s="5"/>
    </row>
    <row r="61" spans="2:13" x14ac:dyDescent="0.35">
      <c r="B61" s="1">
        <v>44264</v>
      </c>
      <c r="G61" s="2" t="s">
        <v>67</v>
      </c>
      <c r="H61" s="5">
        <v>1615.8</v>
      </c>
      <c r="I61" s="5">
        <v>717.3</v>
      </c>
      <c r="J61" s="5">
        <v>377.20000000000005</v>
      </c>
      <c r="K61" s="5">
        <v>258.39999999999998</v>
      </c>
      <c r="L61" s="5">
        <v>55</v>
      </c>
      <c r="M61" s="5">
        <v>75</v>
      </c>
    </row>
    <row r="62" spans="2:13" x14ac:dyDescent="0.35">
      <c r="B62" s="1">
        <v>44265</v>
      </c>
    </row>
    <row r="63" spans="2:13" x14ac:dyDescent="0.35">
      <c r="B63" s="1">
        <v>44266</v>
      </c>
    </row>
    <row r="64" spans="2:13" x14ac:dyDescent="0.35">
      <c r="B64" s="1">
        <v>44267</v>
      </c>
      <c r="G64" t="s">
        <v>75</v>
      </c>
    </row>
    <row r="65" spans="2:14" x14ac:dyDescent="0.35">
      <c r="B65" s="1">
        <v>44268</v>
      </c>
    </row>
    <row r="66" spans="2:14" x14ac:dyDescent="0.35">
      <c r="B66" s="1">
        <v>44269</v>
      </c>
      <c r="G66" s="3" t="s">
        <v>6</v>
      </c>
      <c r="H66" t="s">
        <v>14</v>
      </c>
    </row>
    <row r="67" spans="2:14" x14ac:dyDescent="0.35">
      <c r="B67" s="1">
        <v>44270</v>
      </c>
    </row>
    <row r="68" spans="2:14" x14ac:dyDescent="0.35">
      <c r="B68" s="1">
        <v>44271</v>
      </c>
      <c r="G68" s="3" t="s">
        <v>5</v>
      </c>
      <c r="H68" t="s">
        <v>69</v>
      </c>
    </row>
    <row r="69" spans="2:14" x14ac:dyDescent="0.35">
      <c r="B69" s="1">
        <v>44272</v>
      </c>
      <c r="G69" t="s">
        <v>17</v>
      </c>
      <c r="H69" s="5">
        <v>16399.8</v>
      </c>
      <c r="I69" s="5">
        <v>16399.8</v>
      </c>
    </row>
    <row r="70" spans="2:14" x14ac:dyDescent="0.35">
      <c r="B70" s="1">
        <v>44273</v>
      </c>
      <c r="G70" t="s">
        <v>28</v>
      </c>
      <c r="H70" s="5">
        <v>7027.6000000000013</v>
      </c>
      <c r="I70" s="5">
        <v>7027.6000000000013</v>
      </c>
    </row>
    <row r="71" spans="2:14" x14ac:dyDescent="0.35">
      <c r="B71" s="1">
        <v>44274</v>
      </c>
      <c r="G71" t="s">
        <v>20</v>
      </c>
      <c r="H71" s="5">
        <v>3514.6999999999989</v>
      </c>
      <c r="I71" s="5">
        <v>3514.6999999999989</v>
      </c>
    </row>
    <row r="72" spans="2:14" x14ac:dyDescent="0.35">
      <c r="B72" s="1">
        <v>44275</v>
      </c>
      <c r="G72" t="s">
        <v>13</v>
      </c>
      <c r="H72" s="5">
        <v>2473.9</v>
      </c>
      <c r="I72" s="5">
        <v>2473.9</v>
      </c>
    </row>
    <row r="73" spans="2:14" x14ac:dyDescent="0.35">
      <c r="B73" s="1">
        <v>44276</v>
      </c>
      <c r="G73" t="s">
        <v>47</v>
      </c>
      <c r="H73" s="5">
        <v>550</v>
      </c>
      <c r="I73" s="5">
        <v>550</v>
      </c>
    </row>
    <row r="74" spans="2:14" x14ac:dyDescent="0.35">
      <c r="B74" s="1">
        <v>44277</v>
      </c>
      <c r="G74" t="s">
        <v>54</v>
      </c>
      <c r="H74" s="5">
        <v>225</v>
      </c>
      <c r="I74" s="5">
        <v>225</v>
      </c>
    </row>
    <row r="75" spans="2:14" x14ac:dyDescent="0.35">
      <c r="B75" s="1">
        <v>44278</v>
      </c>
      <c r="G75" t="s">
        <v>67</v>
      </c>
      <c r="H75" s="5">
        <v>30191</v>
      </c>
      <c r="I75" s="6">
        <v>30191</v>
      </c>
    </row>
    <row r="76" spans="2:14" x14ac:dyDescent="0.35">
      <c r="B76" s="1">
        <v>44279</v>
      </c>
    </row>
    <row r="77" spans="2:14" x14ac:dyDescent="0.35">
      <c r="B77" s="1">
        <v>44280</v>
      </c>
    </row>
    <row r="78" spans="2:14" x14ac:dyDescent="0.35">
      <c r="B78" s="1">
        <v>44281</v>
      </c>
      <c r="G78" t="s">
        <v>76</v>
      </c>
    </row>
    <row r="79" spans="2:14" x14ac:dyDescent="0.35">
      <c r="B79" s="1">
        <v>44282</v>
      </c>
      <c r="M79">
        <v>1</v>
      </c>
    </row>
    <row r="80" spans="2:14" x14ac:dyDescent="0.35">
      <c r="B80" s="1">
        <v>44283</v>
      </c>
      <c r="G80" s="3" t="s">
        <v>77</v>
      </c>
      <c r="H80" t="s">
        <v>69</v>
      </c>
      <c r="J80" s="3" t="s">
        <v>77</v>
      </c>
      <c r="K80" t="s">
        <v>68</v>
      </c>
      <c r="M80" t="s">
        <v>77</v>
      </c>
      <c r="N80" t="str">
        <f>IF($M$79=1,H80,K80)</f>
        <v>Sum of Debit</v>
      </c>
    </row>
    <row r="81" spans="2:14" x14ac:dyDescent="0.35">
      <c r="B81" s="1">
        <v>44284</v>
      </c>
      <c r="G81" t="s">
        <v>78</v>
      </c>
      <c r="H81" s="5">
        <v>1895</v>
      </c>
      <c r="J81" t="s">
        <v>87</v>
      </c>
      <c r="K81" s="5">
        <v>2001.3000000000002</v>
      </c>
      <c r="M81" t="s">
        <v>78</v>
      </c>
      <c r="N81">
        <f t="shared" ref="N81:N90" si="0">IF($M$79=1,H81,K81)</f>
        <v>1895</v>
      </c>
    </row>
    <row r="82" spans="2:14" x14ac:dyDescent="0.35">
      <c r="B82" s="1">
        <v>44285</v>
      </c>
      <c r="G82" t="s">
        <v>79</v>
      </c>
      <c r="H82" s="5">
        <v>1874.7000000000003</v>
      </c>
      <c r="J82" t="s">
        <v>67</v>
      </c>
      <c r="K82" s="5">
        <v>2001.3000000000002</v>
      </c>
      <c r="M82" t="s">
        <v>79</v>
      </c>
      <c r="N82">
        <f t="shared" si="0"/>
        <v>1874.7000000000003</v>
      </c>
    </row>
    <row r="83" spans="2:14" x14ac:dyDescent="0.35">
      <c r="B83" s="1">
        <v>44286</v>
      </c>
      <c r="G83" t="s">
        <v>80</v>
      </c>
      <c r="H83" s="5">
        <v>1971</v>
      </c>
      <c r="M83" t="s">
        <v>80</v>
      </c>
      <c r="N83">
        <f t="shared" si="0"/>
        <v>1971</v>
      </c>
    </row>
    <row r="84" spans="2:14" x14ac:dyDescent="0.35">
      <c r="B84" s="1">
        <v>44287</v>
      </c>
      <c r="G84" t="s">
        <v>81</v>
      </c>
      <c r="H84" s="5">
        <v>1827.4</v>
      </c>
      <c r="M84" t="s">
        <v>81</v>
      </c>
      <c r="N84">
        <f t="shared" si="0"/>
        <v>1827.4</v>
      </c>
    </row>
    <row r="85" spans="2:14" x14ac:dyDescent="0.35">
      <c r="B85" s="1">
        <v>44288</v>
      </c>
      <c r="G85" t="s">
        <v>82</v>
      </c>
      <c r="H85" s="5">
        <v>1961.1999999999998</v>
      </c>
      <c r="M85" t="s">
        <v>82</v>
      </c>
      <c r="N85">
        <f t="shared" si="0"/>
        <v>1961.1999999999998</v>
      </c>
    </row>
    <row r="86" spans="2:14" x14ac:dyDescent="0.35">
      <c r="B86" s="1">
        <v>44289</v>
      </c>
      <c r="G86" t="s">
        <v>83</v>
      </c>
      <c r="H86" s="5">
        <v>1896.2</v>
      </c>
      <c r="M86" t="s">
        <v>83</v>
      </c>
      <c r="N86">
        <f t="shared" si="0"/>
        <v>1896.2</v>
      </c>
    </row>
    <row r="87" spans="2:14" x14ac:dyDescent="0.35">
      <c r="B87" s="1">
        <v>44290</v>
      </c>
      <c r="G87" t="s">
        <v>84</v>
      </c>
      <c r="H87" s="5">
        <v>1945.4999999999998</v>
      </c>
      <c r="M87" t="s">
        <v>84</v>
      </c>
      <c r="N87">
        <f t="shared" si="0"/>
        <v>1945.4999999999998</v>
      </c>
    </row>
    <row r="88" spans="2:14" x14ac:dyDescent="0.35">
      <c r="B88" s="1">
        <v>44291</v>
      </c>
      <c r="G88" t="s">
        <v>85</v>
      </c>
      <c r="H88" s="5">
        <v>1822.6</v>
      </c>
      <c r="M88" t="s">
        <v>85</v>
      </c>
      <c r="N88">
        <f t="shared" si="0"/>
        <v>1822.6</v>
      </c>
    </row>
    <row r="89" spans="2:14" x14ac:dyDescent="0.35">
      <c r="B89" s="1">
        <v>44294</v>
      </c>
      <c r="G89" t="s">
        <v>86</v>
      </c>
      <c r="H89" s="5">
        <v>1955.9</v>
      </c>
      <c r="M89" t="s">
        <v>86</v>
      </c>
      <c r="N89">
        <f t="shared" si="0"/>
        <v>1955.9</v>
      </c>
    </row>
    <row r="90" spans="2:14" x14ac:dyDescent="0.35">
      <c r="B90" s="1">
        <v>44295</v>
      </c>
      <c r="G90" t="s">
        <v>87</v>
      </c>
      <c r="H90" s="5">
        <v>1949.2</v>
      </c>
      <c r="M90" t="s">
        <v>87</v>
      </c>
      <c r="N90">
        <f t="shared" si="0"/>
        <v>1949.2</v>
      </c>
    </row>
    <row r="91" spans="2:14" x14ac:dyDescent="0.35">
      <c r="B91" s="1">
        <v>44296</v>
      </c>
      <c r="G91" t="s">
        <v>67</v>
      </c>
      <c r="H91" s="5">
        <v>19098.7</v>
      </c>
    </row>
    <row r="92" spans="2:14" x14ac:dyDescent="0.35">
      <c r="B92" s="1">
        <v>44297</v>
      </c>
    </row>
    <row r="93" spans="2:14" x14ac:dyDescent="0.35">
      <c r="B93" s="1">
        <v>44298</v>
      </c>
    </row>
    <row r="94" spans="2:14" x14ac:dyDescent="0.35">
      <c r="B94" s="1">
        <v>44299</v>
      </c>
    </row>
    <row r="95" spans="2:14" x14ac:dyDescent="0.35">
      <c r="B95" s="1">
        <v>44300</v>
      </c>
    </row>
    <row r="96" spans="2:14" x14ac:dyDescent="0.35">
      <c r="B96" s="1">
        <v>44301</v>
      </c>
    </row>
    <row r="97" spans="2:13" x14ac:dyDescent="0.35">
      <c r="B97" s="1">
        <v>44302</v>
      </c>
    </row>
    <row r="98" spans="2:13" x14ac:dyDescent="0.35">
      <c r="B98" s="1">
        <v>44303</v>
      </c>
    </row>
    <row r="99" spans="2:13" x14ac:dyDescent="0.35">
      <c r="B99" s="1">
        <v>44304</v>
      </c>
    </row>
    <row r="100" spans="2:13" x14ac:dyDescent="0.35">
      <c r="B100" s="1">
        <v>44305</v>
      </c>
    </row>
    <row r="101" spans="2:13" x14ac:dyDescent="0.35">
      <c r="B101" s="1">
        <v>44306</v>
      </c>
    </row>
    <row r="102" spans="2:13" x14ac:dyDescent="0.35">
      <c r="B102" s="1">
        <v>44307</v>
      </c>
    </row>
    <row r="103" spans="2:13" x14ac:dyDescent="0.35">
      <c r="B103" s="1">
        <v>44308</v>
      </c>
    </row>
    <row r="104" spans="2:13" x14ac:dyDescent="0.35">
      <c r="B104" s="1">
        <v>44309</v>
      </c>
    </row>
    <row r="105" spans="2:13" x14ac:dyDescent="0.35">
      <c r="B105" s="1">
        <v>44310</v>
      </c>
    </row>
    <row r="106" spans="2:13" x14ac:dyDescent="0.35">
      <c r="B106" s="1">
        <v>44311</v>
      </c>
    </row>
    <row r="107" spans="2:13" x14ac:dyDescent="0.35">
      <c r="B107" s="1">
        <v>44312</v>
      </c>
    </row>
    <row r="108" spans="2:13" x14ac:dyDescent="0.35">
      <c r="B108" s="1">
        <v>44313</v>
      </c>
    </row>
    <row r="109" spans="2:13" x14ac:dyDescent="0.35">
      <c r="B109" s="1">
        <v>44314</v>
      </c>
      <c r="H109" s="3" t="s">
        <v>61</v>
      </c>
      <c r="J109" s="7">
        <v>1</v>
      </c>
      <c r="K109" s="7" t="s">
        <v>88</v>
      </c>
      <c r="M109" t="s">
        <v>99</v>
      </c>
    </row>
    <row r="110" spans="2:13" x14ac:dyDescent="0.35">
      <c r="B110" s="1">
        <v>44315</v>
      </c>
      <c r="H110">
        <v>10</v>
      </c>
      <c r="J110" s="7">
        <v>2</v>
      </c>
      <c r="K110" s="7" t="s">
        <v>89</v>
      </c>
      <c r="M110" t="str">
        <f>IF(COUNTA(H110:H119)=1,VLOOKUP(H110,J109:K120,2,0),"Multiple months selected")</f>
        <v>October</v>
      </c>
    </row>
    <row r="111" spans="2:13" x14ac:dyDescent="0.35">
      <c r="B111" s="1">
        <v>44316</v>
      </c>
      <c r="J111" s="7">
        <v>3</v>
      </c>
      <c r="K111" s="7" t="s">
        <v>90</v>
      </c>
    </row>
    <row r="112" spans="2:13" x14ac:dyDescent="0.35">
      <c r="B112" s="1">
        <v>44318</v>
      </c>
      <c r="J112" s="7">
        <v>4</v>
      </c>
      <c r="K112" s="7" t="s">
        <v>91</v>
      </c>
    </row>
    <row r="113" spans="2:11" x14ac:dyDescent="0.35">
      <c r="B113" s="1">
        <v>44319</v>
      </c>
      <c r="J113" s="7">
        <v>5</v>
      </c>
      <c r="K113" s="7" t="s">
        <v>82</v>
      </c>
    </row>
    <row r="114" spans="2:11" x14ac:dyDescent="0.35">
      <c r="B114" s="1">
        <v>44320</v>
      </c>
      <c r="J114" s="7">
        <v>6</v>
      </c>
      <c r="K114" s="7" t="s">
        <v>92</v>
      </c>
    </row>
    <row r="115" spans="2:11" x14ac:dyDescent="0.35">
      <c r="B115" s="1">
        <v>44321</v>
      </c>
      <c r="J115" s="7">
        <v>7</v>
      </c>
      <c r="K115" s="7" t="s">
        <v>93</v>
      </c>
    </row>
    <row r="116" spans="2:11" x14ac:dyDescent="0.35">
      <c r="B116" s="1">
        <v>44322</v>
      </c>
      <c r="J116" s="7">
        <v>8</v>
      </c>
      <c r="K116" s="7" t="s">
        <v>94</v>
      </c>
    </row>
    <row r="117" spans="2:11" x14ac:dyDescent="0.35">
      <c r="B117" s="1">
        <v>44325</v>
      </c>
      <c r="J117" s="7">
        <v>9</v>
      </c>
      <c r="K117" s="7" t="s">
        <v>95</v>
      </c>
    </row>
    <row r="118" spans="2:11" x14ac:dyDescent="0.35">
      <c r="B118" s="1">
        <v>44326</v>
      </c>
      <c r="J118" s="7">
        <v>10</v>
      </c>
      <c r="K118" s="7" t="s">
        <v>96</v>
      </c>
    </row>
    <row r="119" spans="2:11" x14ac:dyDescent="0.35">
      <c r="B119" s="1">
        <v>44327</v>
      </c>
      <c r="J119" s="7">
        <v>11</v>
      </c>
      <c r="K119" s="7" t="s">
        <v>97</v>
      </c>
    </row>
    <row r="120" spans="2:11" x14ac:dyDescent="0.35">
      <c r="B120" s="1">
        <v>44328</v>
      </c>
      <c r="J120" s="7">
        <v>12</v>
      </c>
      <c r="K120" s="7" t="s">
        <v>98</v>
      </c>
    </row>
    <row r="121" spans="2:11" x14ac:dyDescent="0.35">
      <c r="B121" s="1">
        <v>44329</v>
      </c>
    </row>
    <row r="122" spans="2:11" x14ac:dyDescent="0.35">
      <c r="B122" s="1">
        <v>44330</v>
      </c>
    </row>
    <row r="123" spans="2:11" x14ac:dyDescent="0.35">
      <c r="B123" s="1">
        <v>44331</v>
      </c>
    </row>
    <row r="124" spans="2:11" x14ac:dyDescent="0.35">
      <c r="B124" s="1">
        <v>44332</v>
      </c>
    </row>
    <row r="125" spans="2:11" x14ac:dyDescent="0.35">
      <c r="B125" s="1">
        <v>44333</v>
      </c>
    </row>
    <row r="126" spans="2:11" x14ac:dyDescent="0.35">
      <c r="B126" s="1">
        <v>44334</v>
      </c>
    </row>
    <row r="127" spans="2:11" x14ac:dyDescent="0.35">
      <c r="B127" s="1">
        <v>44335</v>
      </c>
    </row>
    <row r="128" spans="2:11" x14ac:dyDescent="0.35">
      <c r="B128" s="1">
        <v>44336</v>
      </c>
    </row>
    <row r="129" spans="2:2" x14ac:dyDescent="0.35">
      <c r="B129" s="1">
        <v>44337</v>
      </c>
    </row>
    <row r="130" spans="2:2" x14ac:dyDescent="0.35">
      <c r="B130" s="1">
        <v>44338</v>
      </c>
    </row>
    <row r="131" spans="2:2" x14ac:dyDescent="0.35">
      <c r="B131" s="1">
        <v>44339</v>
      </c>
    </row>
    <row r="132" spans="2:2" x14ac:dyDescent="0.35">
      <c r="B132" s="1">
        <v>44340</v>
      </c>
    </row>
    <row r="133" spans="2:2" x14ac:dyDescent="0.35">
      <c r="B133" s="1">
        <v>44341</v>
      </c>
    </row>
    <row r="134" spans="2:2" x14ac:dyDescent="0.35">
      <c r="B134" s="1">
        <v>44342</v>
      </c>
    </row>
    <row r="135" spans="2:2" x14ac:dyDescent="0.35">
      <c r="B135" s="1">
        <v>44343</v>
      </c>
    </row>
    <row r="136" spans="2:2" x14ac:dyDescent="0.35">
      <c r="B136" s="1">
        <v>44344</v>
      </c>
    </row>
    <row r="137" spans="2:2" x14ac:dyDescent="0.35">
      <c r="B137" s="1">
        <v>44345</v>
      </c>
    </row>
    <row r="138" spans="2:2" x14ac:dyDescent="0.35">
      <c r="B138" s="1">
        <v>44347</v>
      </c>
    </row>
    <row r="139" spans="2:2" x14ac:dyDescent="0.35">
      <c r="B139" s="1">
        <v>44346</v>
      </c>
    </row>
    <row r="140" spans="2:2" x14ac:dyDescent="0.35">
      <c r="B140" s="1">
        <v>44348</v>
      </c>
    </row>
    <row r="141" spans="2:2" x14ac:dyDescent="0.35">
      <c r="B141" s="1">
        <v>44350</v>
      </c>
    </row>
    <row r="142" spans="2:2" x14ac:dyDescent="0.35">
      <c r="B142" s="1">
        <v>44351</v>
      </c>
    </row>
    <row r="143" spans="2:2" x14ac:dyDescent="0.35">
      <c r="B143" s="1">
        <v>44352</v>
      </c>
    </row>
    <row r="144" spans="2:2" x14ac:dyDescent="0.35">
      <c r="B144" s="1">
        <v>44353</v>
      </c>
    </row>
    <row r="145" spans="2:2" x14ac:dyDescent="0.35">
      <c r="B145" s="1">
        <v>44356</v>
      </c>
    </row>
    <row r="146" spans="2:2" x14ac:dyDescent="0.35">
      <c r="B146" s="1">
        <v>44357</v>
      </c>
    </row>
    <row r="147" spans="2:2" x14ac:dyDescent="0.35">
      <c r="B147" s="1">
        <v>44358</v>
      </c>
    </row>
    <row r="148" spans="2:2" x14ac:dyDescent="0.35">
      <c r="B148" s="1">
        <v>44359</v>
      </c>
    </row>
    <row r="149" spans="2:2" x14ac:dyDescent="0.35">
      <c r="B149" s="1">
        <v>44360</v>
      </c>
    </row>
    <row r="150" spans="2:2" x14ac:dyDescent="0.35">
      <c r="B150" s="1">
        <v>44361</v>
      </c>
    </row>
    <row r="151" spans="2:2" x14ac:dyDescent="0.35">
      <c r="B151" s="1">
        <v>44362</v>
      </c>
    </row>
    <row r="152" spans="2:2" x14ac:dyDescent="0.35">
      <c r="B152" s="1">
        <v>44363</v>
      </c>
    </row>
    <row r="153" spans="2:2" x14ac:dyDescent="0.35">
      <c r="B153" s="1">
        <v>44364</v>
      </c>
    </row>
    <row r="154" spans="2:2" x14ac:dyDescent="0.35">
      <c r="B154" s="1">
        <v>44365</v>
      </c>
    </row>
    <row r="155" spans="2:2" x14ac:dyDescent="0.35">
      <c r="B155" s="1">
        <v>44366</v>
      </c>
    </row>
    <row r="156" spans="2:2" x14ac:dyDescent="0.35">
      <c r="B156" s="1">
        <v>44367</v>
      </c>
    </row>
    <row r="157" spans="2:2" x14ac:dyDescent="0.35">
      <c r="B157" s="1">
        <v>44368</v>
      </c>
    </row>
    <row r="158" spans="2:2" x14ac:dyDescent="0.35">
      <c r="B158" s="1">
        <v>44369</v>
      </c>
    </row>
    <row r="159" spans="2:2" x14ac:dyDescent="0.35">
      <c r="B159" s="1">
        <v>44370</v>
      </c>
    </row>
    <row r="160" spans="2:2" x14ac:dyDescent="0.35">
      <c r="B160" s="1">
        <v>44371</v>
      </c>
    </row>
    <row r="161" spans="2:2" x14ac:dyDescent="0.35">
      <c r="B161" s="1">
        <v>44372</v>
      </c>
    </row>
    <row r="162" spans="2:2" x14ac:dyDescent="0.35">
      <c r="B162" s="1">
        <v>44373</v>
      </c>
    </row>
    <row r="163" spans="2:2" x14ac:dyDescent="0.35">
      <c r="B163" s="1">
        <v>44374</v>
      </c>
    </row>
    <row r="164" spans="2:2" x14ac:dyDescent="0.35">
      <c r="B164" s="1">
        <v>44375</v>
      </c>
    </row>
    <row r="165" spans="2:2" x14ac:dyDescent="0.35">
      <c r="B165" s="1">
        <v>44376</v>
      </c>
    </row>
    <row r="166" spans="2:2" x14ac:dyDescent="0.35">
      <c r="B166" s="1">
        <v>44377</v>
      </c>
    </row>
    <row r="167" spans="2:2" x14ac:dyDescent="0.35">
      <c r="B167" s="1">
        <v>44378</v>
      </c>
    </row>
    <row r="168" spans="2:2" x14ac:dyDescent="0.35">
      <c r="B168" s="1">
        <v>44379</v>
      </c>
    </row>
    <row r="169" spans="2:2" x14ac:dyDescent="0.35">
      <c r="B169" s="1">
        <v>44380</v>
      </c>
    </row>
    <row r="170" spans="2:2" x14ac:dyDescent="0.35">
      <c r="B170" s="1">
        <v>44382</v>
      </c>
    </row>
    <row r="171" spans="2:2" x14ac:dyDescent="0.35">
      <c r="B171" s="1">
        <v>44383</v>
      </c>
    </row>
    <row r="172" spans="2:2" x14ac:dyDescent="0.35">
      <c r="B172" s="1">
        <v>44384</v>
      </c>
    </row>
    <row r="173" spans="2:2" x14ac:dyDescent="0.35">
      <c r="B173" s="1">
        <v>44387</v>
      </c>
    </row>
    <row r="174" spans="2:2" x14ac:dyDescent="0.35">
      <c r="B174" s="1">
        <v>44388</v>
      </c>
    </row>
    <row r="175" spans="2:2" x14ac:dyDescent="0.35">
      <c r="B175" s="1">
        <v>44389</v>
      </c>
    </row>
    <row r="176" spans="2:2" x14ac:dyDescent="0.35">
      <c r="B176" s="1">
        <v>44390</v>
      </c>
    </row>
    <row r="177" spans="2:2" x14ac:dyDescent="0.35">
      <c r="B177" s="1">
        <v>44391</v>
      </c>
    </row>
    <row r="178" spans="2:2" x14ac:dyDescent="0.35">
      <c r="B178" s="1">
        <v>44392</v>
      </c>
    </row>
    <row r="179" spans="2:2" x14ac:dyDescent="0.35">
      <c r="B179" s="1">
        <v>44393</v>
      </c>
    </row>
    <row r="180" spans="2:2" x14ac:dyDescent="0.35">
      <c r="B180" s="1">
        <v>44394</v>
      </c>
    </row>
    <row r="181" spans="2:2" x14ac:dyDescent="0.35">
      <c r="B181" s="1">
        <v>44395</v>
      </c>
    </row>
    <row r="182" spans="2:2" x14ac:dyDescent="0.35">
      <c r="B182" s="1">
        <v>44396</v>
      </c>
    </row>
    <row r="183" spans="2:2" x14ac:dyDescent="0.35">
      <c r="B183" s="1">
        <v>44397</v>
      </c>
    </row>
    <row r="184" spans="2:2" x14ac:dyDescent="0.35">
      <c r="B184" s="1">
        <v>44398</v>
      </c>
    </row>
    <row r="185" spans="2:2" x14ac:dyDescent="0.35">
      <c r="B185" s="1">
        <v>44399</v>
      </c>
    </row>
    <row r="186" spans="2:2" x14ac:dyDescent="0.35">
      <c r="B186" s="1">
        <v>44400</v>
      </c>
    </row>
    <row r="187" spans="2:2" x14ac:dyDescent="0.35">
      <c r="B187" s="1">
        <v>44401</v>
      </c>
    </row>
    <row r="188" spans="2:2" x14ac:dyDescent="0.35">
      <c r="B188" s="1">
        <v>44402</v>
      </c>
    </row>
    <row r="189" spans="2:2" x14ac:dyDescent="0.35">
      <c r="B189" s="1">
        <v>44403</v>
      </c>
    </row>
    <row r="190" spans="2:2" x14ac:dyDescent="0.35">
      <c r="B190" s="1">
        <v>44404</v>
      </c>
    </row>
    <row r="191" spans="2:2" x14ac:dyDescent="0.35">
      <c r="B191" s="1">
        <v>44405</v>
      </c>
    </row>
    <row r="192" spans="2:2" x14ac:dyDescent="0.35">
      <c r="B192" s="1">
        <v>44406</v>
      </c>
    </row>
    <row r="193" spans="2:2" x14ac:dyDescent="0.35">
      <c r="B193" s="1">
        <v>44407</v>
      </c>
    </row>
    <row r="194" spans="2:2" x14ac:dyDescent="0.35">
      <c r="B194" s="1">
        <v>44408</v>
      </c>
    </row>
    <row r="195" spans="2:2" x14ac:dyDescent="0.35">
      <c r="B195" s="1">
        <v>44410</v>
      </c>
    </row>
    <row r="196" spans="2:2" x14ac:dyDescent="0.35">
      <c r="B196" s="1">
        <v>44411</v>
      </c>
    </row>
    <row r="197" spans="2:2" x14ac:dyDescent="0.35">
      <c r="B197" s="1">
        <v>44413</v>
      </c>
    </row>
    <row r="198" spans="2:2" x14ac:dyDescent="0.35">
      <c r="B198" s="1">
        <v>44414</v>
      </c>
    </row>
    <row r="199" spans="2:2" x14ac:dyDescent="0.35">
      <c r="B199" s="1">
        <v>44415</v>
      </c>
    </row>
    <row r="200" spans="2:2" x14ac:dyDescent="0.35">
      <c r="B200" s="1">
        <v>44418</v>
      </c>
    </row>
    <row r="201" spans="2:2" x14ac:dyDescent="0.35">
      <c r="B201" s="1">
        <v>44419</v>
      </c>
    </row>
    <row r="202" spans="2:2" x14ac:dyDescent="0.35">
      <c r="B202" s="1">
        <v>44420</v>
      </c>
    </row>
    <row r="203" spans="2:2" x14ac:dyDescent="0.35">
      <c r="B203" s="1">
        <v>44421</v>
      </c>
    </row>
    <row r="204" spans="2:2" x14ac:dyDescent="0.35">
      <c r="B204" s="1">
        <v>44422</v>
      </c>
    </row>
    <row r="205" spans="2:2" x14ac:dyDescent="0.35">
      <c r="B205" s="1">
        <v>44423</v>
      </c>
    </row>
    <row r="206" spans="2:2" x14ac:dyDescent="0.35">
      <c r="B206" s="1">
        <v>44424</v>
      </c>
    </row>
    <row r="207" spans="2:2" x14ac:dyDescent="0.35">
      <c r="B207" s="1">
        <v>44425</v>
      </c>
    </row>
    <row r="208" spans="2:2" x14ac:dyDescent="0.35">
      <c r="B208" s="1">
        <v>44426</v>
      </c>
    </row>
    <row r="209" spans="2:2" x14ac:dyDescent="0.35">
      <c r="B209" s="1">
        <v>44427</v>
      </c>
    </row>
    <row r="210" spans="2:2" x14ac:dyDescent="0.35">
      <c r="B210" s="1">
        <v>44428</v>
      </c>
    </row>
    <row r="211" spans="2:2" x14ac:dyDescent="0.35">
      <c r="B211" s="1">
        <v>44429</v>
      </c>
    </row>
    <row r="212" spans="2:2" x14ac:dyDescent="0.35">
      <c r="B212" s="1">
        <v>44430</v>
      </c>
    </row>
    <row r="213" spans="2:2" x14ac:dyDescent="0.35">
      <c r="B213" s="1">
        <v>44431</v>
      </c>
    </row>
    <row r="214" spans="2:2" x14ac:dyDescent="0.35">
      <c r="B214" s="1">
        <v>44432</v>
      </c>
    </row>
    <row r="215" spans="2:2" x14ac:dyDescent="0.35">
      <c r="B215" s="1">
        <v>44433</v>
      </c>
    </row>
    <row r="216" spans="2:2" x14ac:dyDescent="0.35">
      <c r="B216" s="1">
        <v>44434</v>
      </c>
    </row>
    <row r="217" spans="2:2" x14ac:dyDescent="0.35">
      <c r="B217" s="1">
        <v>44435</v>
      </c>
    </row>
    <row r="218" spans="2:2" x14ac:dyDescent="0.35">
      <c r="B218" s="1">
        <v>44436</v>
      </c>
    </row>
    <row r="219" spans="2:2" x14ac:dyDescent="0.35">
      <c r="B219" s="1">
        <v>44437</v>
      </c>
    </row>
    <row r="220" spans="2:2" x14ac:dyDescent="0.35">
      <c r="B220" s="1">
        <v>44438</v>
      </c>
    </row>
    <row r="221" spans="2:2" x14ac:dyDescent="0.35">
      <c r="B221" s="1">
        <v>44439</v>
      </c>
    </row>
    <row r="222" spans="2:2" x14ac:dyDescent="0.35">
      <c r="B222" s="1">
        <v>44441</v>
      </c>
    </row>
    <row r="223" spans="2:2" x14ac:dyDescent="0.35">
      <c r="B223" s="1">
        <v>44442</v>
      </c>
    </row>
    <row r="224" spans="2:2" x14ac:dyDescent="0.35">
      <c r="B224" s="1">
        <v>44444</v>
      </c>
    </row>
    <row r="225" spans="2:2" x14ac:dyDescent="0.35">
      <c r="B225" s="1">
        <v>44445</v>
      </c>
    </row>
    <row r="226" spans="2:2" x14ac:dyDescent="0.35">
      <c r="B226" s="1">
        <v>44446</v>
      </c>
    </row>
    <row r="227" spans="2:2" x14ac:dyDescent="0.35">
      <c r="B227" s="1">
        <v>44449</v>
      </c>
    </row>
    <row r="228" spans="2:2" x14ac:dyDescent="0.35">
      <c r="B228" s="1">
        <v>44450</v>
      </c>
    </row>
    <row r="229" spans="2:2" x14ac:dyDescent="0.35">
      <c r="B229" s="1">
        <v>44451</v>
      </c>
    </row>
    <row r="230" spans="2:2" x14ac:dyDescent="0.35">
      <c r="B230" s="1">
        <v>44452</v>
      </c>
    </row>
    <row r="231" spans="2:2" x14ac:dyDescent="0.35">
      <c r="B231" s="1">
        <v>44453</v>
      </c>
    </row>
    <row r="232" spans="2:2" x14ac:dyDescent="0.35">
      <c r="B232" s="1">
        <v>44454</v>
      </c>
    </row>
    <row r="233" spans="2:2" x14ac:dyDescent="0.35">
      <c r="B233" s="1">
        <v>44455</v>
      </c>
    </row>
    <row r="234" spans="2:2" x14ac:dyDescent="0.35">
      <c r="B234" s="1">
        <v>44456</v>
      </c>
    </row>
    <row r="235" spans="2:2" x14ac:dyDescent="0.35">
      <c r="B235" s="1">
        <v>44457</v>
      </c>
    </row>
    <row r="236" spans="2:2" x14ac:dyDescent="0.35">
      <c r="B236" s="1">
        <v>44458</v>
      </c>
    </row>
    <row r="237" spans="2:2" x14ac:dyDescent="0.35">
      <c r="B237" s="1">
        <v>44459</v>
      </c>
    </row>
    <row r="238" spans="2:2" x14ac:dyDescent="0.35">
      <c r="B238" s="1">
        <v>44460</v>
      </c>
    </row>
    <row r="239" spans="2:2" x14ac:dyDescent="0.35">
      <c r="B239" s="1">
        <v>44461</v>
      </c>
    </row>
    <row r="240" spans="2:2" x14ac:dyDescent="0.35">
      <c r="B240" s="1">
        <v>44462</v>
      </c>
    </row>
    <row r="241" spans="2:2" x14ac:dyDescent="0.35">
      <c r="B241" s="1">
        <v>44463</v>
      </c>
    </row>
    <row r="242" spans="2:2" x14ac:dyDescent="0.35">
      <c r="B242" s="1">
        <v>44464</v>
      </c>
    </row>
    <row r="243" spans="2:2" x14ac:dyDescent="0.35">
      <c r="B243" s="1">
        <v>44465</v>
      </c>
    </row>
    <row r="244" spans="2:2" x14ac:dyDescent="0.35">
      <c r="B244" s="1">
        <v>44466</v>
      </c>
    </row>
    <row r="245" spans="2:2" x14ac:dyDescent="0.35">
      <c r="B245" s="1">
        <v>44467</v>
      </c>
    </row>
    <row r="246" spans="2:2" x14ac:dyDescent="0.35">
      <c r="B246" s="1">
        <v>44468</v>
      </c>
    </row>
    <row r="247" spans="2:2" x14ac:dyDescent="0.35">
      <c r="B247" s="1">
        <v>44469</v>
      </c>
    </row>
    <row r="248" spans="2:2" x14ac:dyDescent="0.35">
      <c r="B248" s="1">
        <v>44470</v>
      </c>
    </row>
    <row r="249" spans="2:2" x14ac:dyDescent="0.35">
      <c r="B249" s="1">
        <v>44472</v>
      </c>
    </row>
    <row r="250" spans="2:2" x14ac:dyDescent="0.35">
      <c r="B250" s="1">
        <v>44473</v>
      </c>
    </row>
    <row r="251" spans="2:2" x14ac:dyDescent="0.35">
      <c r="B251" s="1">
        <v>44475</v>
      </c>
    </row>
    <row r="252" spans="2:2" x14ac:dyDescent="0.35">
      <c r="B252" s="1">
        <v>44476</v>
      </c>
    </row>
    <row r="253" spans="2:2" x14ac:dyDescent="0.35">
      <c r="B253" s="1">
        <v>44477</v>
      </c>
    </row>
    <row r="254" spans="2:2" x14ac:dyDescent="0.35">
      <c r="B254" s="1">
        <v>44480</v>
      </c>
    </row>
    <row r="255" spans="2:2" x14ac:dyDescent="0.35">
      <c r="B255" s="1">
        <v>44481</v>
      </c>
    </row>
    <row r="256" spans="2:2" x14ac:dyDescent="0.35">
      <c r="B256" s="1">
        <v>44482</v>
      </c>
    </row>
    <row r="257" spans="2:2" x14ac:dyDescent="0.35">
      <c r="B257" s="1">
        <v>44483</v>
      </c>
    </row>
    <row r="258" spans="2:2" x14ac:dyDescent="0.35">
      <c r="B258" s="1">
        <v>44484</v>
      </c>
    </row>
    <row r="259" spans="2:2" x14ac:dyDescent="0.35">
      <c r="B259" s="1">
        <v>44485</v>
      </c>
    </row>
    <row r="260" spans="2:2" x14ac:dyDescent="0.35">
      <c r="B260" s="1">
        <v>44486</v>
      </c>
    </row>
    <row r="261" spans="2:2" x14ac:dyDescent="0.35">
      <c r="B261" s="1">
        <v>44487</v>
      </c>
    </row>
    <row r="262" spans="2:2" x14ac:dyDescent="0.35">
      <c r="B262" s="1">
        <v>44488</v>
      </c>
    </row>
    <row r="263" spans="2:2" x14ac:dyDescent="0.35">
      <c r="B263" s="1">
        <v>44489</v>
      </c>
    </row>
    <row r="264" spans="2:2" x14ac:dyDescent="0.35">
      <c r="B264" s="1">
        <v>44490</v>
      </c>
    </row>
    <row r="265" spans="2:2" x14ac:dyDescent="0.35">
      <c r="B265" s="1">
        <v>44491</v>
      </c>
    </row>
    <row r="266" spans="2:2" x14ac:dyDescent="0.35">
      <c r="B266" s="1">
        <v>44492</v>
      </c>
    </row>
    <row r="267" spans="2:2" x14ac:dyDescent="0.35">
      <c r="B267" s="1">
        <v>44493</v>
      </c>
    </row>
    <row r="268" spans="2:2" x14ac:dyDescent="0.35">
      <c r="B268" s="1">
        <v>44494</v>
      </c>
    </row>
    <row r="269" spans="2:2" x14ac:dyDescent="0.35">
      <c r="B269" s="1">
        <v>44495</v>
      </c>
    </row>
    <row r="270" spans="2:2" x14ac:dyDescent="0.35">
      <c r="B270" s="1">
        <v>44496</v>
      </c>
    </row>
    <row r="271" spans="2:2" x14ac:dyDescent="0.35">
      <c r="B271" s="1">
        <v>44497</v>
      </c>
    </row>
    <row r="272" spans="2:2" x14ac:dyDescent="0.35">
      <c r="B272" s="1">
        <v>44498</v>
      </c>
    </row>
    <row r="273" spans="2:2" x14ac:dyDescent="0.35">
      <c r="B273" s="1">
        <v>44499</v>
      </c>
    </row>
    <row r="274" spans="2:2" x14ac:dyDescent="0.35">
      <c r="B274" s="1">
        <v>44500</v>
      </c>
    </row>
  </sheetData>
  <hyperlinks>
    <hyperlink ref="A1" location="Dashboard!A1" display="Back To Dashboard" xr:uid="{8D0004AB-BD5D-48CD-AEB7-8B6609562014}"/>
  </hyperlinks>
  <pageMargins left="0.7" right="0.7" top="0.75" bottom="0.75" header="0.3" footer="0.3"/>
  <drawing r:id="rId10"/>
  <extLst>
    <ext xmlns:x14="http://schemas.microsoft.com/office/spreadsheetml/2009/9/main" uri="{A8765BA9-456A-4dab-B4F3-ACF838C121DE}">
      <x14:slicerList>
        <x14:slicer r:id="rId11"/>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2F1C8A-F261-4D70-AD4B-CF7FEC9F9D23}">
  <dimension ref="A1"/>
  <sheetViews>
    <sheetView workbookViewId="0">
      <selection activeCell="K18" sqref="K18"/>
    </sheetView>
  </sheetViews>
  <sheetFormatPr defaultRowHeight="15" x14ac:dyDescent="0.35"/>
  <cols>
    <col min="1" max="16384" width="8.7265625" style="9"/>
  </cols>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6C9FD2-933D-41EC-8C77-D36D7EE86901}">
  <dimension ref="J1:J39"/>
  <sheetViews>
    <sheetView showGridLines="0" zoomScale="77" zoomScaleNormal="70" workbookViewId="0">
      <selection activeCell="V26" sqref="V26"/>
    </sheetView>
  </sheetViews>
  <sheetFormatPr defaultRowHeight="15" x14ac:dyDescent="0.35"/>
  <cols>
    <col min="1" max="1" width="0.6328125" style="12" customWidth="1"/>
    <col min="2" max="9" width="7.26953125" style="12"/>
    <col min="10" max="11" width="8.7265625" style="12"/>
    <col min="12" max="20" width="7.26953125" style="12"/>
    <col min="21" max="21" width="11.1796875" style="12" customWidth="1"/>
    <col min="22" max="16384" width="8.7265625" style="12"/>
  </cols>
  <sheetData>
    <row r="1" spans="10:10" s="12" customFormat="1" ht="1.8" customHeight="1" x14ac:dyDescent="0.35"/>
    <row r="2" spans="10:10" s="12" customFormat="1" ht="6" customHeight="1" x14ac:dyDescent="0.35"/>
    <row r="13" spans="10:10" s="12" customFormat="1" x14ac:dyDescent="0.35">
      <c r="J13" s="12" t="s">
        <v>64</v>
      </c>
    </row>
    <row r="39" s="12" customFormat="1" x14ac:dyDescent="0.35"/>
  </sheetData>
  <sheetProtection selectLockedCells="1" selectUn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16</xdr:col>
                    <xdr:colOff>541020</xdr:colOff>
                    <xdr:row>26</xdr:row>
                    <xdr:rowOff>137160</xdr:rowOff>
                  </from>
                  <to>
                    <xdr:col>18</xdr:col>
                    <xdr:colOff>274320</xdr:colOff>
                    <xdr:row>28</xdr:row>
                    <xdr:rowOff>160020</xdr:rowOff>
                  </to>
                </anchor>
              </controlPr>
            </control>
          </mc:Choice>
        </mc:AlternateContent>
        <mc:AlternateContent xmlns:mc="http://schemas.openxmlformats.org/markup-compatibility/2006">
          <mc:Choice Requires="x14">
            <control shapeId="1026" r:id="rId5" name="Option Button 2">
              <controlPr defaultSize="0" autoFill="0" autoLine="0" autoPict="0">
                <anchor moveWithCells="1">
                  <from>
                    <xdr:col>18</xdr:col>
                    <xdr:colOff>304800</xdr:colOff>
                    <xdr:row>26</xdr:row>
                    <xdr:rowOff>137160</xdr:rowOff>
                  </from>
                  <to>
                    <xdr:col>20</xdr:col>
                    <xdr:colOff>152400</xdr:colOff>
                    <xdr:row>28</xdr:row>
                    <xdr:rowOff>190500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E303239-C22A-4165-8950-083B3F4FA57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Sheet6</vt:lpstr>
      <vt:lpstr>Sheet1</vt:lpstr>
      <vt:lpstr>Sheet2</vt:lpstr>
      <vt:lpstr>Sheet3</vt:lpstr>
      <vt:lpstr>Analysis</vt:lpstr>
      <vt:lpstr>Icons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Shubh</cp:lastModifiedBy>
  <cp:lastPrinted>2024-07-17T19:52:31Z</cp:lastPrinted>
  <dcterms:created xsi:type="dcterms:W3CDTF">2021-12-12T19:13:53Z</dcterms:created>
  <dcterms:modified xsi:type="dcterms:W3CDTF">2024-11-04T19:09:38Z</dcterms:modified>
</cp:coreProperties>
</file>